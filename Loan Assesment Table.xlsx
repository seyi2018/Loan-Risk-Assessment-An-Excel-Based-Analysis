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1.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754AE1E1-2A67-4517-90BD-64FDFE14C3D4}" xr6:coauthVersionLast="47" xr6:coauthVersionMax="47" xr10:uidLastSave="{00000000-0000-0000-0000-000000000000}"/>
  <bookViews>
    <workbookView xWindow="-110" yWindow="-110" windowWidth="19420" windowHeight="10300" firstSheet="4" activeTab="4" xr2:uid="{00000000-000D-0000-FFFF-FFFF00000000}"/>
  </bookViews>
  <sheets>
    <sheet name="Sheet4" sheetId="5" state="hidden" r:id="rId1"/>
    <sheet name="Sheet5" sheetId="6" state="hidden" r:id="rId2"/>
    <sheet name="Sheet6" sheetId="7" state="hidden" r:id="rId3"/>
    <sheet name="Sheet7" sheetId="8" state="hidden" r:id="rId4"/>
    <sheet name="Assesment Table" sheetId="1" r:id="rId5"/>
    <sheet name="Sheet9" sheetId="10" state="hidden" r:id="rId6"/>
    <sheet name="Sheet2" sheetId="3" state="hidden" r:id="rId7"/>
    <sheet name="Dashboard" sheetId="4" r:id="rId8"/>
    <sheet name="Insights" sheetId="9" r:id="rId9"/>
  </sheets>
  <definedNames>
    <definedName name="_xlcn.WorksheetConnection_AssesmentTableA2K20021" hidden="1">'Assesment Table'!$A$2:$J$2002</definedName>
    <definedName name="Slicer_Name">#N/A</definedName>
  </definedNames>
  <calcPr calcId="191029"/>
  <pivotCaches>
    <pivotCache cacheId="59" r:id="rId10"/>
    <pivotCache cacheId="52" r:id="rId11"/>
    <pivotCache cacheId="53" r:id="rId12"/>
    <pivotCache cacheId="57" r:id="rId13"/>
    <pivotCache cacheId="60"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Assesment Table!$A$2:$K$200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8" i="10" l="1"/>
  <c r="C17" i="10"/>
  <c r="C16" i="10"/>
  <c r="C15" i="10"/>
  <c r="C10" i="10"/>
  <c r="C9" i="10"/>
  <c r="C8" i="10"/>
  <c r="C7" i="10"/>
  <c r="C5" i="10"/>
  <c r="C4" i="10"/>
  <c r="C3" i="10"/>
  <c r="M17"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3"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4" i="1"/>
  <c r="I5" i="1"/>
  <c r="I6" i="1"/>
  <c r="I7" i="1"/>
  <c r="I8" i="1"/>
  <c r="I9" i="1"/>
  <c r="I10" i="1"/>
  <c r="I11" i="1"/>
  <c r="I12" i="1"/>
  <c r="I13" i="1"/>
  <c r="I14" i="1"/>
  <c r="I15" i="1"/>
  <c r="I16" i="1"/>
  <c r="I17" i="1"/>
  <c r="I18" i="1"/>
  <c r="I19" i="1"/>
  <c r="I20" i="1"/>
  <c r="I21" i="1"/>
  <c r="I22" i="1"/>
  <c r="I23" i="1"/>
  <c r="I24" i="1"/>
  <c r="I25" i="1"/>
  <c r="I3" i="1"/>
  <c r="M10" i="1" l="1"/>
  <c r="M15" i="1"/>
  <c r="M16" i="1"/>
  <c r="M18" i="1"/>
  <c r="M3" i="1"/>
  <c r="M4" i="1"/>
  <c r="M5" i="1"/>
  <c r="M7" i="1"/>
  <c r="M8" i="1"/>
  <c r="M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E59787-34FE-4330-906E-5B079FD3DA2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DF1E620-9D76-46E3-9F53-AE9D51BF09F3}" name="WorksheetConnection_Assesment Table!$A$2:$K$2002" type="102" refreshedVersion="7" minRefreshableVersion="5">
    <extLst>
      <ext xmlns:x15="http://schemas.microsoft.com/office/spreadsheetml/2010/11/main" uri="{DE250136-89BD-433C-8126-D09CA5730AF9}">
        <x15:connection id="Range" autoDelete="1">
          <x15:rangePr sourceName="_xlcn.WorksheetConnection_AssesmentTableA2K20021"/>
        </x15:connection>
      </ext>
    </extLst>
  </connection>
</connections>
</file>

<file path=xl/sharedStrings.xml><?xml version="1.0" encoding="utf-8"?>
<sst xmlns="http://schemas.openxmlformats.org/spreadsheetml/2006/main" count="4376" uniqueCount="4027">
  <si>
    <t>Name</t>
  </si>
  <si>
    <t>City</t>
  </si>
  <si>
    <t>Income</t>
  </si>
  <si>
    <t>Credit_Score</t>
  </si>
  <si>
    <t>Loan_Amount</t>
  </si>
  <si>
    <t>Years_Employed</t>
  </si>
  <si>
    <t>Points</t>
  </si>
  <si>
    <t>Loan_Approved</t>
  </si>
  <si>
    <t>Is Approved</t>
  </si>
  <si>
    <t>Notable Patterns For The Credit Score</t>
  </si>
  <si>
    <t>Allison Hill</t>
  </si>
  <si>
    <t>East Jill</t>
  </si>
  <si>
    <t>Brandon Hall</t>
  </si>
  <si>
    <t>New Jamesside</t>
  </si>
  <si>
    <t>Approved Loans</t>
  </si>
  <si>
    <t>Rhonda Smith</t>
  </si>
  <si>
    <t>Lake Roberto</t>
  </si>
  <si>
    <t>Rejected Loans</t>
  </si>
  <si>
    <t>Gabrielle Davis</t>
  </si>
  <si>
    <t>West Melanieview</t>
  </si>
  <si>
    <t>Approval Rate (%)</t>
  </si>
  <si>
    <t>Valerie Gray</t>
  </si>
  <si>
    <t>Mariastad</t>
  </si>
  <si>
    <t>Darren Roberts</t>
  </si>
  <si>
    <t>Port Jesseville</t>
  </si>
  <si>
    <t>Avg Credit Score (Approved)</t>
  </si>
  <si>
    <t>Holly Wood</t>
  </si>
  <si>
    <t>Lake Joseph</t>
  </si>
  <si>
    <t>Avg Credit Score (Rejected)</t>
  </si>
  <si>
    <t>Nicholas Martin</t>
  </si>
  <si>
    <t>Nelsonside</t>
  </si>
  <si>
    <t>Patty Perez</t>
  </si>
  <si>
    <t>Port Leslieview</t>
  </si>
  <si>
    <t>Emily Rios</t>
  </si>
  <si>
    <t>Wilkersonmouth</t>
  </si>
  <si>
    <t>Avg Years Employed (Approved)</t>
  </si>
  <si>
    <t>Justin Baker</t>
  </si>
  <si>
    <t>Hurstfurt</t>
  </si>
  <si>
    <t>Avg Years Employed (Rejected)</t>
  </si>
  <si>
    <t>Ann Williams</t>
  </si>
  <si>
    <t>East Courtneychester</t>
  </si>
  <si>
    <t>Julie King</t>
  </si>
  <si>
    <t>Lake Jenniferside</t>
  </si>
  <si>
    <t>Jeffrey Chavez</t>
  </si>
  <si>
    <t>Teresaburgh</t>
  </si>
  <si>
    <t>Mark Lynch</t>
  </si>
  <si>
    <t>West Kathryn</t>
  </si>
  <si>
    <t>Alec Hickman</t>
  </si>
  <si>
    <t>Johnbury</t>
  </si>
  <si>
    <t>Vanessa Patel</t>
  </si>
  <si>
    <t>East Donna</t>
  </si>
  <si>
    <t>Jenny Lewis</t>
  </si>
  <si>
    <t>Lake Larry</t>
  </si>
  <si>
    <t>David Brown</t>
  </si>
  <si>
    <t>New Angelashire</t>
  </si>
  <si>
    <t>Amy Jones</t>
  </si>
  <si>
    <t>Port Markhaven</t>
  </si>
  <si>
    <t>Carlos Walls</t>
  </si>
  <si>
    <t>Sanchezfort</t>
  </si>
  <si>
    <t>Jeffrey Henderson</t>
  </si>
  <si>
    <t>Shieldston</t>
  </si>
  <si>
    <t>Rebecca Rodriguez</t>
  </si>
  <si>
    <t>East Amanda</t>
  </si>
  <si>
    <t>David Leblanc</t>
  </si>
  <si>
    <t>Mortonside</t>
  </si>
  <si>
    <t>Tracy House</t>
  </si>
  <si>
    <t>East Richard</t>
  </si>
  <si>
    <t>Carmen Smith</t>
  </si>
  <si>
    <t>Bakermouth</t>
  </si>
  <si>
    <t>Katelyn Lee</t>
  </si>
  <si>
    <t>North Beth</t>
  </si>
  <si>
    <t>John Calhoun</t>
  </si>
  <si>
    <t>North Susan</t>
  </si>
  <si>
    <t>Megan Young</t>
  </si>
  <si>
    <t>New Johnton</t>
  </si>
  <si>
    <t>Emily Green</t>
  </si>
  <si>
    <t>Johnfurt</t>
  </si>
  <si>
    <t>Timothy Walls</t>
  </si>
  <si>
    <t>South Christineshire</t>
  </si>
  <si>
    <t>Derek Mahoney</t>
  </si>
  <si>
    <t>East Mikeburgh</t>
  </si>
  <si>
    <t>Victoria Valdez</t>
  </si>
  <si>
    <t>Lake Lisaport</t>
  </si>
  <si>
    <t>Brian Tran</t>
  </si>
  <si>
    <t>Juanborough</t>
  </si>
  <si>
    <t>Kathy King</t>
  </si>
  <si>
    <t>North Cynthiaview</t>
  </si>
  <si>
    <t>Mandy Green</t>
  </si>
  <si>
    <t>Arnoldchester</t>
  </si>
  <si>
    <t>Melissa Hernandez</t>
  </si>
  <si>
    <t>Port Mikeside</t>
  </si>
  <si>
    <t>Jacob Fitzpatrick</t>
  </si>
  <si>
    <t>West Jasonbury</t>
  </si>
  <si>
    <t>Jennifer Oliver</t>
  </si>
  <si>
    <t>East Michelle</t>
  </si>
  <si>
    <t>Tim Patton</t>
  </si>
  <si>
    <t>Phambury</t>
  </si>
  <si>
    <t>Andrew Ruiz</t>
  </si>
  <si>
    <t>Port Samantha</t>
  </si>
  <si>
    <t>Matthew Ross</t>
  </si>
  <si>
    <t>Michelleview</t>
  </si>
  <si>
    <t>William Herrera</t>
  </si>
  <si>
    <t>North Natalieview</t>
  </si>
  <si>
    <t>Kyle Reed</t>
  </si>
  <si>
    <t>Samuelhaven</t>
  </si>
  <si>
    <t>Andrew Graham</t>
  </si>
  <si>
    <t>West Ryan</t>
  </si>
  <si>
    <t>Belinda Mccullough</t>
  </si>
  <si>
    <t>Elizabethmouth</t>
  </si>
  <si>
    <t>Cheryl Ortega</t>
  </si>
  <si>
    <t>Byrdburgh</t>
  </si>
  <si>
    <t>Elizabeth Clark</t>
  </si>
  <si>
    <t>Stevenmouth</t>
  </si>
  <si>
    <t>Toni Fitzgerald</t>
  </si>
  <si>
    <t>West Zacharymouth</t>
  </si>
  <si>
    <t>Curtis Johnson</t>
  </si>
  <si>
    <t>South Cheryl</t>
  </si>
  <si>
    <t>Laura Higgins</t>
  </si>
  <si>
    <t>Snyderbury</t>
  </si>
  <si>
    <t>Shannon Mcclure</t>
  </si>
  <si>
    <t>Robinsonhaven</t>
  </si>
  <si>
    <t>Ryan Bryant</t>
  </si>
  <si>
    <t>Contrerasside</t>
  </si>
  <si>
    <t>Stephanie Simmons</t>
  </si>
  <si>
    <t>Merrittfort</t>
  </si>
  <si>
    <t>Destiny Strickland</t>
  </si>
  <si>
    <t>Simsview</t>
  </si>
  <si>
    <t>George Orozco</t>
  </si>
  <si>
    <t>East Edwardfurt</t>
  </si>
  <si>
    <t>Jason Daniels</t>
  </si>
  <si>
    <t>Brownchester</t>
  </si>
  <si>
    <t>Pamela James</t>
  </si>
  <si>
    <t>West Kennethfurt</t>
  </si>
  <si>
    <t>Stephanie Freeman</t>
  </si>
  <si>
    <t>Ryantown</t>
  </si>
  <si>
    <t>Sara Calhoun</t>
  </si>
  <si>
    <t>South Brittanytown</t>
  </si>
  <si>
    <t>Joel Williams</t>
  </si>
  <si>
    <t>Murphymouth</t>
  </si>
  <si>
    <t>Trevor Fisher</t>
  </si>
  <si>
    <t>South Andrewside</t>
  </si>
  <si>
    <t>Rachael Pearson</t>
  </si>
  <si>
    <t>East Jamestown</t>
  </si>
  <si>
    <t>Brian Gould</t>
  </si>
  <si>
    <t>Lyonsstad</t>
  </si>
  <si>
    <t>Michelle Strickland</t>
  </si>
  <si>
    <t>West Daniel</t>
  </si>
  <si>
    <t>Tina Sanders</t>
  </si>
  <si>
    <t>North Brittany</t>
  </si>
  <si>
    <t>Lindsay Martinez</t>
  </si>
  <si>
    <t>West Amandastad</t>
  </si>
  <si>
    <t>Jason Henry</t>
  </si>
  <si>
    <t>Yumouth</t>
  </si>
  <si>
    <t>Tracie Nelson</t>
  </si>
  <si>
    <t>Marshallshire</t>
  </si>
  <si>
    <t>Angelica Keith</t>
  </si>
  <si>
    <t>Port Steven</t>
  </si>
  <si>
    <t>Frederick Freeman MD</t>
  </si>
  <si>
    <t>Matthewview</t>
  </si>
  <si>
    <t>Nathan Freeman</t>
  </si>
  <si>
    <t>Lake Thomas</t>
  </si>
  <si>
    <t>Daniel Holt</t>
  </si>
  <si>
    <t>Elizabethstad</t>
  </si>
  <si>
    <t>Zachary Pierce</t>
  </si>
  <si>
    <t>Jacquelineview</t>
  </si>
  <si>
    <t>Corey Wilson</t>
  </si>
  <si>
    <t>East Javier</t>
  </si>
  <si>
    <t>Kelly Campbell</t>
  </si>
  <si>
    <t>Port Jamesbury</t>
  </si>
  <si>
    <t>Joseph Hill</t>
  </si>
  <si>
    <t>New Kellyberg</t>
  </si>
  <si>
    <t>Julie Alexander</t>
  </si>
  <si>
    <t>North Johnny</t>
  </si>
  <si>
    <t>Benjamin Soto</t>
  </si>
  <si>
    <t>East Edwardshire</t>
  </si>
  <si>
    <t>Phillip Obrien</t>
  </si>
  <si>
    <t>Port Alexandra</t>
  </si>
  <si>
    <t>Wanda Torres</t>
  </si>
  <si>
    <t>New Susanville</t>
  </si>
  <si>
    <t>Brad Allen</t>
  </si>
  <si>
    <t>East Aaronmouth</t>
  </si>
  <si>
    <t>Michael Warner</t>
  </si>
  <si>
    <t>Jonesbury</t>
  </si>
  <si>
    <t>Taylor Coleman</t>
  </si>
  <si>
    <t>Lake Edward</t>
  </si>
  <si>
    <t>Ricky Larson</t>
  </si>
  <si>
    <t>Scottmouth</t>
  </si>
  <si>
    <t>Kathryn Snyder</t>
  </si>
  <si>
    <t>New Billchester</t>
  </si>
  <si>
    <t>Darryl Craig</t>
  </si>
  <si>
    <t>Port Emilyview</t>
  </si>
  <si>
    <t>Jessica Ramirez</t>
  </si>
  <si>
    <t>Waltersfort</t>
  </si>
  <si>
    <t>Frank Garcia</t>
  </si>
  <si>
    <t>West Robert</t>
  </si>
  <si>
    <t>Krista Gibson</t>
  </si>
  <si>
    <t>Johnnyville</t>
  </si>
  <si>
    <t>Kimberly Gutierrez</t>
  </si>
  <si>
    <t>New Michael</t>
  </si>
  <si>
    <t>Christina Dunn</t>
  </si>
  <si>
    <t>Samuelfort</t>
  </si>
  <si>
    <t>Cynthia Moore</t>
  </si>
  <si>
    <t>New Rickybury</t>
  </si>
  <si>
    <t>Brittany Cantu</t>
  </si>
  <si>
    <t>Williamview</t>
  </si>
  <si>
    <t>Juan Reyes</t>
  </si>
  <si>
    <t>Port Chad</t>
  </si>
  <si>
    <t>Aaron Barber</t>
  </si>
  <si>
    <t>Grimesmouth</t>
  </si>
  <si>
    <t>Kimberly Gibson</t>
  </si>
  <si>
    <t>Mollybury</t>
  </si>
  <si>
    <t>Patrick Thornton</t>
  </si>
  <si>
    <t>Hughesberg</t>
  </si>
  <si>
    <t>Leslie Kane</t>
  </si>
  <si>
    <t>Garciamouth</t>
  </si>
  <si>
    <t>Matthew Moore</t>
  </si>
  <si>
    <t>Harringtonview</t>
  </si>
  <si>
    <t>Sarah Phelps</t>
  </si>
  <si>
    <t>Finleyfort</t>
  </si>
  <si>
    <t>Michael Mitchell</t>
  </si>
  <si>
    <t>Lake Christopher</t>
  </si>
  <si>
    <t>Michael Berger</t>
  </si>
  <si>
    <t>West Lauraport</t>
  </si>
  <si>
    <t>Joseph Knight</t>
  </si>
  <si>
    <t>East Gregory</t>
  </si>
  <si>
    <t>Mr. David Little MD</t>
  </si>
  <si>
    <t>Port Stevenport</t>
  </si>
  <si>
    <t>Victoria Evans</t>
  </si>
  <si>
    <t>Vaughnmouth</t>
  </si>
  <si>
    <t>Ashley James</t>
  </si>
  <si>
    <t>Baileyport</t>
  </si>
  <si>
    <t>Keith Jennings</t>
  </si>
  <si>
    <t>New Julieport</t>
  </si>
  <si>
    <t>Connor King</t>
  </si>
  <si>
    <t>Lake Colton</t>
  </si>
  <si>
    <t>Jacob Anderson</t>
  </si>
  <si>
    <t>Markchester</t>
  </si>
  <si>
    <t>Sherri Diaz</t>
  </si>
  <si>
    <t>Mariaview</t>
  </si>
  <si>
    <t>Julie Jones</t>
  </si>
  <si>
    <t>Port Erica</t>
  </si>
  <si>
    <t>James Baker</t>
  </si>
  <si>
    <t>South Miguelview</t>
  </si>
  <si>
    <t>David Johnson</t>
  </si>
  <si>
    <t>Rosebury</t>
  </si>
  <si>
    <t>Elizabeth Ortiz</t>
  </si>
  <si>
    <t>North Sophia</t>
  </si>
  <si>
    <t>Stephen Taylor</t>
  </si>
  <si>
    <t>Watsonside</t>
  </si>
  <si>
    <t>Mary Bass</t>
  </si>
  <si>
    <t>Crosbyview</t>
  </si>
  <si>
    <t>Jeremy Young</t>
  </si>
  <si>
    <t>Corystad</t>
  </si>
  <si>
    <t>Walter Rush</t>
  </si>
  <si>
    <t>Davisborough</t>
  </si>
  <si>
    <t>Cameron Cunningham</t>
  </si>
  <si>
    <t>Port Kathyborough</t>
  </si>
  <si>
    <t>Rachel Carlson</t>
  </si>
  <si>
    <t>Micheleberg</t>
  </si>
  <si>
    <t>Ashley Delacruz</t>
  </si>
  <si>
    <t>North Michael</t>
  </si>
  <si>
    <t>Derek Martinez</t>
  </si>
  <si>
    <t>Foxland</t>
  </si>
  <si>
    <t>Ashley Gordon</t>
  </si>
  <si>
    <t>Lake Kristahaven</t>
  </si>
  <si>
    <t>John Morales</t>
  </si>
  <si>
    <t>South Jennifermouth</t>
  </si>
  <si>
    <t>Ana Hill</t>
  </si>
  <si>
    <t>Oscarhaven</t>
  </si>
  <si>
    <t>Annette Miles</t>
  </si>
  <si>
    <t>South Shannon</t>
  </si>
  <si>
    <t>Jennifer Blair</t>
  </si>
  <si>
    <t>Ronaldview</t>
  </si>
  <si>
    <t>Ronald Davis</t>
  </si>
  <si>
    <t>Lake Joanneberg</t>
  </si>
  <si>
    <t>Meagan Jenkins</t>
  </si>
  <si>
    <t>Parrishton</t>
  </si>
  <si>
    <t>Kenneth Lewis</t>
  </si>
  <si>
    <t>Walkerville</t>
  </si>
  <si>
    <t>Donald Perez</t>
  </si>
  <si>
    <t>Bruceside</t>
  </si>
  <si>
    <t>Donald Farmer</t>
  </si>
  <si>
    <t>Michaelburgh</t>
  </si>
  <si>
    <t>Patrick Bonilla</t>
  </si>
  <si>
    <t>Lake Alyssafurt</t>
  </si>
  <si>
    <t>Eric Nguyen</t>
  </si>
  <si>
    <t>North Ericton</t>
  </si>
  <si>
    <t>Karla Ramos</t>
  </si>
  <si>
    <t>Jasonhaven</t>
  </si>
  <si>
    <t>Michael Watkins</t>
  </si>
  <si>
    <t>Brandonfurt</t>
  </si>
  <si>
    <t>Daniel Taylor</t>
  </si>
  <si>
    <t>Keithville</t>
  </si>
  <si>
    <t>James Padilla</t>
  </si>
  <si>
    <t>Charleston</t>
  </si>
  <si>
    <t>Shannon Johnston</t>
  </si>
  <si>
    <t>Mckinneychester</t>
  </si>
  <si>
    <t>Frederick Solis</t>
  </si>
  <si>
    <t>Collierstad</t>
  </si>
  <si>
    <t>Kevin Warren</t>
  </si>
  <si>
    <t>Harrellmouth</t>
  </si>
  <si>
    <t>Mark Schmidt</t>
  </si>
  <si>
    <t>Port Michael</t>
  </si>
  <si>
    <t>Craig Morrison</t>
  </si>
  <si>
    <t>East Stephaniefort</t>
  </si>
  <si>
    <t>Thomas Cunningham</t>
  </si>
  <si>
    <t>Michellemouth</t>
  </si>
  <si>
    <t>Mark Hogan</t>
  </si>
  <si>
    <t>West Williamport</t>
  </si>
  <si>
    <t>Ronald Jones</t>
  </si>
  <si>
    <t>New Brookefurt</t>
  </si>
  <si>
    <t>Nancy Williams</t>
  </si>
  <si>
    <t>West Cassidy</t>
  </si>
  <si>
    <t>Robert Monroe</t>
  </si>
  <si>
    <t>New Debbieton</t>
  </si>
  <si>
    <t>Kelly Bishop MD</t>
  </si>
  <si>
    <t>Paulmouth</t>
  </si>
  <si>
    <t>Brandon Gregory</t>
  </si>
  <si>
    <t>Johnathanberg</t>
  </si>
  <si>
    <t>Sydney Collins</t>
  </si>
  <si>
    <t>Andersonland</t>
  </si>
  <si>
    <t>Erin Anderson</t>
  </si>
  <si>
    <t>Lake Ellenhaven</t>
  </si>
  <si>
    <t>Trevor Peterson</t>
  </si>
  <si>
    <t>Leeberg</t>
  </si>
  <si>
    <t>Ashley Wise</t>
  </si>
  <si>
    <t>Lake Matthewberg</t>
  </si>
  <si>
    <t>Michael Weber</t>
  </si>
  <si>
    <t>Lake Samuel</t>
  </si>
  <si>
    <t>Lisa Goodwin</t>
  </si>
  <si>
    <t>Youngbury</t>
  </si>
  <si>
    <t>Travis Joyce</t>
  </si>
  <si>
    <t>Hammondfurt</t>
  </si>
  <si>
    <t>Ruth Solis</t>
  </si>
  <si>
    <t>Port John</t>
  </si>
  <si>
    <t>Michelle Black</t>
  </si>
  <si>
    <t>West Christopherburgh</t>
  </si>
  <si>
    <t>Jeffrey Potts</t>
  </si>
  <si>
    <t>Port Shannon</t>
  </si>
  <si>
    <t>Jonathan Young</t>
  </si>
  <si>
    <t>West Jeffreymouth</t>
  </si>
  <si>
    <t>Brenda Mitchell</t>
  </si>
  <si>
    <t>Hortonberg</t>
  </si>
  <si>
    <t>Bobby Scott</t>
  </si>
  <si>
    <t>New Shelby</t>
  </si>
  <si>
    <t>Cynthia Martinez</t>
  </si>
  <si>
    <t>South Danielle</t>
  </si>
  <si>
    <t>Kathryn Herrera</t>
  </si>
  <si>
    <t>Lake Douglas</t>
  </si>
  <si>
    <t>Kenneth Lopez</t>
  </si>
  <si>
    <t>New Theresaland</t>
  </si>
  <si>
    <t>Katie Smith</t>
  </si>
  <si>
    <t>Williamsfurt</t>
  </si>
  <si>
    <t>Austin Allen</t>
  </si>
  <si>
    <t>Port Bonniemouth</t>
  </si>
  <si>
    <t>Robin Thompson</t>
  </si>
  <si>
    <t>Pollardfort</t>
  </si>
  <si>
    <t>Terri Johnson</t>
  </si>
  <si>
    <t>North Kylie</t>
  </si>
  <si>
    <t>Virginia Daniels</t>
  </si>
  <si>
    <t>Benjaminborough</t>
  </si>
  <si>
    <t>Evelyn Martinez</t>
  </si>
  <si>
    <t>Samuelfurt</t>
  </si>
  <si>
    <t>Kathleen Jimenez</t>
  </si>
  <si>
    <t>Lauriechester</t>
  </si>
  <si>
    <t>Catherine Carter MD</t>
  </si>
  <si>
    <t>Donnaport</t>
  </si>
  <si>
    <t>Jeremy West</t>
  </si>
  <si>
    <t>Christinachester</t>
  </si>
  <si>
    <t>Mark Cox</t>
  </si>
  <si>
    <t>North Douglas</t>
  </si>
  <si>
    <t>Richard Diaz</t>
  </si>
  <si>
    <t>Herrington</t>
  </si>
  <si>
    <t>Jacqueline Hines</t>
  </si>
  <si>
    <t>Brian Fitzgerald</t>
  </si>
  <si>
    <t>Holmesside</t>
  </si>
  <si>
    <t>Cindy Carr</t>
  </si>
  <si>
    <t>Gonzalezberg</t>
  </si>
  <si>
    <t>Jill Miller</t>
  </si>
  <si>
    <t>Elizabethland</t>
  </si>
  <si>
    <t>Tammy Little</t>
  </si>
  <si>
    <t>Williamville</t>
  </si>
  <si>
    <t>Allison Spencer</t>
  </si>
  <si>
    <t>Tannerside</t>
  </si>
  <si>
    <t>James Love</t>
  </si>
  <si>
    <t>Foxchester</t>
  </si>
  <si>
    <t>Joanna Frazier</t>
  </si>
  <si>
    <t>Davidside</t>
  </si>
  <si>
    <t>Sheena Guerra</t>
  </si>
  <si>
    <t>West Fred</t>
  </si>
  <si>
    <t>Todd Jacobson</t>
  </si>
  <si>
    <t>West Jamesside</t>
  </si>
  <si>
    <t>Joseph Shaw</t>
  </si>
  <si>
    <t>New Shelly</t>
  </si>
  <si>
    <t>Lisa Kirby</t>
  </si>
  <si>
    <t>Port Michelleland</t>
  </si>
  <si>
    <t>Daniel Armstrong</t>
  </si>
  <si>
    <t>South Pamelaside</t>
  </si>
  <si>
    <t>Dr. Michael Evans</t>
  </si>
  <si>
    <t>Lake Brianmouth</t>
  </si>
  <si>
    <t>Lawrence Edwards</t>
  </si>
  <si>
    <t>Jessicastad</t>
  </si>
  <si>
    <t>Ashley Allen</t>
  </si>
  <si>
    <t>West Shannonberg</t>
  </si>
  <si>
    <t>Sharon Barnes</t>
  </si>
  <si>
    <t>Port Mark</t>
  </si>
  <si>
    <t>Mr. Jonathan Parker Jr.</t>
  </si>
  <si>
    <t>Wagnerbury</t>
  </si>
  <si>
    <t>Douglas Harper</t>
  </si>
  <si>
    <t>Mitchelltown</t>
  </si>
  <si>
    <t>Monica Gallagher</t>
  </si>
  <si>
    <t>Brandonton</t>
  </si>
  <si>
    <t>James Cole</t>
  </si>
  <si>
    <t>Marciaville</t>
  </si>
  <si>
    <t>William Grant</t>
  </si>
  <si>
    <t>Kariborough</t>
  </si>
  <si>
    <t>Andrew Reeves</t>
  </si>
  <si>
    <t>Stoneberg</t>
  </si>
  <si>
    <t>Emily Long</t>
  </si>
  <si>
    <t>Brittneyhaven</t>
  </si>
  <si>
    <t>Elizabeth Cabrera</t>
  </si>
  <si>
    <t>Markville</t>
  </si>
  <si>
    <t>Molly Watts</t>
  </si>
  <si>
    <t>New Thomasshire</t>
  </si>
  <si>
    <t>Carolyn Fuller</t>
  </si>
  <si>
    <t>Hernandezbury</t>
  </si>
  <si>
    <t>Jeremy Barnes</t>
  </si>
  <si>
    <t>Vaughnchester</t>
  </si>
  <si>
    <t>Nancy Brown</t>
  </si>
  <si>
    <t>New Jared</t>
  </si>
  <si>
    <t>Emily Thompson</t>
  </si>
  <si>
    <t>Amyview</t>
  </si>
  <si>
    <t>Edwin David</t>
  </si>
  <si>
    <t>Kellieborough</t>
  </si>
  <si>
    <t>Timothy Pope</t>
  </si>
  <si>
    <t>Keithshire</t>
  </si>
  <si>
    <t>Regina Roberts</t>
  </si>
  <si>
    <t>Stephanieland</t>
  </si>
  <si>
    <t>Cindy Clayton</t>
  </si>
  <si>
    <t>Sarahview</t>
  </si>
  <si>
    <t>Cynthia Williams</t>
  </si>
  <si>
    <t>Lake Jesse</t>
  </si>
  <si>
    <t>Ashlee Townsend</t>
  </si>
  <si>
    <t>New Tiffanyburgh</t>
  </si>
  <si>
    <t>Curtis Maynard</t>
  </si>
  <si>
    <t>Justinton</t>
  </si>
  <si>
    <t>Parker Jefferson</t>
  </si>
  <si>
    <t>East Robertburgh</t>
  </si>
  <si>
    <t>Paul Brennan</t>
  </si>
  <si>
    <t>Nancytown</t>
  </si>
  <si>
    <t>William Mitchell</t>
  </si>
  <si>
    <t>Smallberg</t>
  </si>
  <si>
    <t>Brian Martin</t>
  </si>
  <si>
    <t>Wongburgh</t>
  </si>
  <si>
    <t>Laura Todd</t>
  </si>
  <si>
    <t>New Melissa</t>
  </si>
  <si>
    <t>James Davis</t>
  </si>
  <si>
    <t>South Marcus</t>
  </si>
  <si>
    <t>Jeremy Adams</t>
  </si>
  <si>
    <t>Kevinshire</t>
  </si>
  <si>
    <t>Amy Wilson</t>
  </si>
  <si>
    <t>Erikhaven</t>
  </si>
  <si>
    <t>Teresa Richardson</t>
  </si>
  <si>
    <t>East Susan</t>
  </si>
  <si>
    <t>Lisa Perry</t>
  </si>
  <si>
    <t>Toddborough</t>
  </si>
  <si>
    <t>Angela Griffin</t>
  </si>
  <si>
    <t>Christianshire</t>
  </si>
  <si>
    <t>Christina Herrera</t>
  </si>
  <si>
    <t>West Melissa</t>
  </si>
  <si>
    <t>Katherine Nolan</t>
  </si>
  <si>
    <t>Stokesmouth</t>
  </si>
  <si>
    <t>Anthony Ford</t>
  </si>
  <si>
    <t>Jenniferfurt</t>
  </si>
  <si>
    <t>Amber Cooper</t>
  </si>
  <si>
    <t>New Virginialand</t>
  </si>
  <si>
    <t>Randy Cannon</t>
  </si>
  <si>
    <t>Brooksfurt</t>
  </si>
  <si>
    <t>Victor Baxter</t>
  </si>
  <si>
    <t>Lake Michelle</t>
  </si>
  <si>
    <t>Cameron Irwin</t>
  </si>
  <si>
    <t>Port Andrewport</t>
  </si>
  <si>
    <t>James Hall</t>
  </si>
  <si>
    <t>Reedview</t>
  </si>
  <si>
    <t>Matthew Mendez</t>
  </si>
  <si>
    <t>East Jamieville</t>
  </si>
  <si>
    <t>Shelby Sanchez</t>
  </si>
  <si>
    <t>South Scottside</t>
  </si>
  <si>
    <t>Donna Cabrera</t>
  </si>
  <si>
    <t>Barbaramouth</t>
  </si>
  <si>
    <t>Ms. Jennifer Hill</t>
  </si>
  <si>
    <t>Lake Erika</t>
  </si>
  <si>
    <t>Megan Floyd</t>
  </si>
  <si>
    <t>Heatherchester</t>
  </si>
  <si>
    <t>Joshua Allen</t>
  </si>
  <si>
    <t>West Meredith</t>
  </si>
  <si>
    <t>Tracy Grant</t>
  </si>
  <si>
    <t>South John</t>
  </si>
  <si>
    <t>Sarah Davis</t>
  </si>
  <si>
    <t>North Joseph</t>
  </si>
  <si>
    <t>Laurie Powers</t>
  </si>
  <si>
    <t>South Jason</t>
  </si>
  <si>
    <t>Colton Figueroa</t>
  </si>
  <si>
    <t>Rochaborough</t>
  </si>
  <si>
    <t>Douglas Owens</t>
  </si>
  <si>
    <t>Kylestad</t>
  </si>
  <si>
    <t>William Harrison</t>
  </si>
  <si>
    <t>Robinstad</t>
  </si>
  <si>
    <t>Connie Thomas</t>
  </si>
  <si>
    <t>Angelashire</t>
  </si>
  <si>
    <t>David Hudson</t>
  </si>
  <si>
    <t>South Andrea</t>
  </si>
  <si>
    <t>Maria Henry</t>
  </si>
  <si>
    <t>Lake Laura</t>
  </si>
  <si>
    <t>Thomas Weaver DDS</t>
  </si>
  <si>
    <t>New Arthurland</t>
  </si>
  <si>
    <t>Mark Jones</t>
  </si>
  <si>
    <t>North Jeffery</t>
  </si>
  <si>
    <t>Mary Jensen</t>
  </si>
  <si>
    <t>Hopkinstown</t>
  </si>
  <si>
    <t>Alan Bowen</t>
  </si>
  <si>
    <t>Andrechester</t>
  </si>
  <si>
    <t>Daisy Harvey</t>
  </si>
  <si>
    <t>Lisaview</t>
  </si>
  <si>
    <t>Judy Sanchez</t>
  </si>
  <si>
    <t>West Gabriella</t>
  </si>
  <si>
    <t>James Tran</t>
  </si>
  <si>
    <t>Lake Albertburgh</t>
  </si>
  <si>
    <t>Erin Madden</t>
  </si>
  <si>
    <t>New Samanthabury</t>
  </si>
  <si>
    <t>Anthony Jones</t>
  </si>
  <si>
    <t>Rachelshire</t>
  </si>
  <si>
    <t>Daniel Thomas</t>
  </si>
  <si>
    <t>Hickmanport</t>
  </si>
  <si>
    <t>Sarah Rhodes</t>
  </si>
  <si>
    <t>Patrickberg</t>
  </si>
  <si>
    <t>Jeffrey Roberson</t>
  </si>
  <si>
    <t>Cassiefurt</t>
  </si>
  <si>
    <t>Willie Henry</t>
  </si>
  <si>
    <t>Angelafurt</t>
  </si>
  <si>
    <t>Angelica Montgomery</t>
  </si>
  <si>
    <t>Lake Charles</t>
  </si>
  <si>
    <t>Madison Singh</t>
  </si>
  <si>
    <t>Michaelland</t>
  </si>
  <si>
    <t>Derrick Anderson</t>
  </si>
  <si>
    <t>South Shane</t>
  </si>
  <si>
    <t>Hector Davis</t>
  </si>
  <si>
    <t>Michelletown</t>
  </si>
  <si>
    <t>Misty Hansen</t>
  </si>
  <si>
    <t>New Adriana</t>
  </si>
  <si>
    <t>Derrick Thomas</t>
  </si>
  <si>
    <t>South Joshua</t>
  </si>
  <si>
    <t>Tony Le</t>
  </si>
  <si>
    <t>Wheelerborough</t>
  </si>
  <si>
    <t>Travis Cook</t>
  </si>
  <si>
    <t>Brockmouth</t>
  </si>
  <si>
    <t>Shannon Mccann</t>
  </si>
  <si>
    <t>West Malik</t>
  </si>
  <si>
    <t>James Flores</t>
  </si>
  <si>
    <t>Faulknerbury</t>
  </si>
  <si>
    <t>Jenna Wilson</t>
  </si>
  <si>
    <t>New Wendy</t>
  </si>
  <si>
    <t>Nicholas Hahn</t>
  </si>
  <si>
    <t>South Lauren</t>
  </si>
  <si>
    <t>Eric King</t>
  </si>
  <si>
    <t>Lake Rodney</t>
  </si>
  <si>
    <t>Karen Morales DDS</t>
  </si>
  <si>
    <t>Stephensstad</t>
  </si>
  <si>
    <t>Ashley Wright</t>
  </si>
  <si>
    <t>Gabrielton</t>
  </si>
  <si>
    <t>Brett Walker</t>
  </si>
  <si>
    <t>South Neil</t>
  </si>
  <si>
    <t>Brittany Cuevas</t>
  </si>
  <si>
    <t>Garciachester</t>
  </si>
  <si>
    <t>Grant Mueller</t>
  </si>
  <si>
    <t>Baileyville</t>
  </si>
  <si>
    <t>Eric Patrick</t>
  </si>
  <si>
    <t>North Melindaville</t>
  </si>
  <si>
    <t>Kristen Rivera</t>
  </si>
  <si>
    <t>Mullenbury</t>
  </si>
  <si>
    <t>Matthew Foster</t>
  </si>
  <si>
    <t>South Brittany</t>
  </si>
  <si>
    <t>Paul Stokes</t>
  </si>
  <si>
    <t>New Cristianside</t>
  </si>
  <si>
    <t>Brian Lambert</t>
  </si>
  <si>
    <t>Rosemouth</t>
  </si>
  <si>
    <t>Hannah Bruce</t>
  </si>
  <si>
    <t>Port Emily</t>
  </si>
  <si>
    <t>Cesar Wilson</t>
  </si>
  <si>
    <t>Darylstad</t>
  </si>
  <si>
    <t>Chad Reyes</t>
  </si>
  <si>
    <t>South Cynthia</t>
  </si>
  <si>
    <t>Charles Edwards MD</t>
  </si>
  <si>
    <t>Port Michaeltown</t>
  </si>
  <si>
    <t>Tracey Wagner</t>
  </si>
  <si>
    <t>Ortizfort</t>
  </si>
  <si>
    <t>Bradley Johnson DDS</t>
  </si>
  <si>
    <t>Antoniobury</t>
  </si>
  <si>
    <t>Krystal Barton</t>
  </si>
  <si>
    <t>Dunnville</t>
  </si>
  <si>
    <t>Holly Carson</t>
  </si>
  <si>
    <t>Port Jenniferside</t>
  </si>
  <si>
    <t>Martha Wright</t>
  </si>
  <si>
    <t>South Joseland</t>
  </si>
  <si>
    <t>Oscar Norris</t>
  </si>
  <si>
    <t>Martinberg</t>
  </si>
  <si>
    <t>Kim Carlson</t>
  </si>
  <si>
    <t>West Tiffany</t>
  </si>
  <si>
    <t>Scott Duke</t>
  </si>
  <si>
    <t>East Sydneychester</t>
  </si>
  <si>
    <t>Brandi Thomas</t>
  </si>
  <si>
    <t>Mariafurt</t>
  </si>
  <si>
    <t>Lori Brooks</t>
  </si>
  <si>
    <t>Lake Lauraland</t>
  </si>
  <si>
    <t>Sherry Gibson</t>
  </si>
  <si>
    <t>Murphytown</t>
  </si>
  <si>
    <t>Melissa Horn</t>
  </si>
  <si>
    <t>Robinsonchester</t>
  </si>
  <si>
    <t>Drew Kelley</t>
  </si>
  <si>
    <t>Mark Copeland</t>
  </si>
  <si>
    <t>North Sarahburgh</t>
  </si>
  <si>
    <t>Jessica Forbes DVM</t>
  </si>
  <si>
    <t>Erikview</t>
  </si>
  <si>
    <t>Jacob Mckee</t>
  </si>
  <si>
    <t>North Randy</t>
  </si>
  <si>
    <t>Brandon Davis</t>
  </si>
  <si>
    <t>South Christian</t>
  </si>
  <si>
    <t>Michael Montoya</t>
  </si>
  <si>
    <t>Bensonfort</t>
  </si>
  <si>
    <t>Robert Garcia</t>
  </si>
  <si>
    <t>Nicoleberg</t>
  </si>
  <si>
    <t>Justin Bishop</t>
  </si>
  <si>
    <t>South Michael</t>
  </si>
  <si>
    <t>Lisa Ramos</t>
  </si>
  <si>
    <t>North Peggy</t>
  </si>
  <si>
    <t>Heather Jordan</t>
  </si>
  <si>
    <t>East Joshua</t>
  </si>
  <si>
    <t>Michelle Mitchell</t>
  </si>
  <si>
    <t>Port Melanieport</t>
  </si>
  <si>
    <t>Nicole Phillips</t>
  </si>
  <si>
    <t>Port Rachaelbury</t>
  </si>
  <si>
    <t>Alexandria Ward</t>
  </si>
  <si>
    <t>Davidshire</t>
  </si>
  <si>
    <t>Pamela Best</t>
  </si>
  <si>
    <t>North Brendatown</t>
  </si>
  <si>
    <t>Tiffany Sanders</t>
  </si>
  <si>
    <t>Courtneyhaven</t>
  </si>
  <si>
    <t>Joshua Jensen</t>
  </si>
  <si>
    <t>Christopherland</t>
  </si>
  <si>
    <t>Jeanette Walters</t>
  </si>
  <si>
    <t>West Hollybury</t>
  </si>
  <si>
    <t>Audrey Salazar</t>
  </si>
  <si>
    <t>West Elizabethburgh</t>
  </si>
  <si>
    <t>Carla Benton</t>
  </si>
  <si>
    <t>Garyberg</t>
  </si>
  <si>
    <t>Alyssa Roman</t>
  </si>
  <si>
    <t>Alexandriaview</t>
  </si>
  <si>
    <t>Amy Villarreal</t>
  </si>
  <si>
    <t>West Eric</t>
  </si>
  <si>
    <t>Jordan Williams</t>
  </si>
  <si>
    <t>East Brandonstad</t>
  </si>
  <si>
    <t>Shannon Tran</t>
  </si>
  <si>
    <t>Walkerbury</t>
  </si>
  <si>
    <t>Blake Watson</t>
  </si>
  <si>
    <t>East Jeffreyhaven</t>
  </si>
  <si>
    <t>Sharon Ayala</t>
  </si>
  <si>
    <t>Markside</t>
  </si>
  <si>
    <t>Justin Torres</t>
  </si>
  <si>
    <t>South Micheal</t>
  </si>
  <si>
    <t>Danielle Smith</t>
  </si>
  <si>
    <t>Johnsonside</t>
  </si>
  <si>
    <t>April Sandoval</t>
  </si>
  <si>
    <t>Daltonhaven</t>
  </si>
  <si>
    <t>Valerie Thomas</t>
  </si>
  <si>
    <t>Christopherbury</t>
  </si>
  <si>
    <t>Paul Carpenter</t>
  </si>
  <si>
    <t>Lake Lori</t>
  </si>
  <si>
    <t>Matthew Anderson</t>
  </si>
  <si>
    <t>Josemouth</t>
  </si>
  <si>
    <t>Dillon Jones</t>
  </si>
  <si>
    <t>East Kimberly</t>
  </si>
  <si>
    <t>John Russell</t>
  </si>
  <si>
    <t>Tamiborough</t>
  </si>
  <si>
    <t>Bryan Moore</t>
  </si>
  <si>
    <t>Margaretton</t>
  </si>
  <si>
    <t>David Kelly</t>
  </si>
  <si>
    <t>Lake Kentburgh</t>
  </si>
  <si>
    <t>Krista Davis</t>
  </si>
  <si>
    <t>Port Lauraville</t>
  </si>
  <si>
    <t>Rodney Watson</t>
  </si>
  <si>
    <t>New Brendaland</t>
  </si>
  <si>
    <t>Jill Anderson</t>
  </si>
  <si>
    <t>Davidmouth</t>
  </si>
  <si>
    <t>Nathaniel Crawford</t>
  </si>
  <si>
    <t>Vegaburgh</t>
  </si>
  <si>
    <t>Jeremy Hernandez</t>
  </si>
  <si>
    <t>Lake Kenneth</t>
  </si>
  <si>
    <t>Douglas Taylor</t>
  </si>
  <si>
    <t>Lake Nicole</t>
  </si>
  <si>
    <t>Kimberly Smith MD</t>
  </si>
  <si>
    <t>Timothyfort</t>
  </si>
  <si>
    <t>Devin Johnson</t>
  </si>
  <si>
    <t>North Paula</t>
  </si>
  <si>
    <t>Pamela Key</t>
  </si>
  <si>
    <t>North John</t>
  </si>
  <si>
    <t>Sylvia Brown</t>
  </si>
  <si>
    <t>New Meghan</t>
  </si>
  <si>
    <t>Kevin Drake</t>
  </si>
  <si>
    <t>Robintown</t>
  </si>
  <si>
    <t>Travis Copeland</t>
  </si>
  <si>
    <t>Weaverburgh</t>
  </si>
  <si>
    <t>Kyle Smith</t>
  </si>
  <si>
    <t>Smithborough</t>
  </si>
  <si>
    <t>Sarah Morris</t>
  </si>
  <si>
    <t>East Brendaberg</t>
  </si>
  <si>
    <t>Jacqueline Mcmahon</t>
  </si>
  <si>
    <t>Willismouth</t>
  </si>
  <si>
    <t>Morgan Kim</t>
  </si>
  <si>
    <t>Banksburgh</t>
  </si>
  <si>
    <t>Jamie Gross</t>
  </si>
  <si>
    <t>Davidtown</t>
  </si>
  <si>
    <t>Evan Lamb</t>
  </si>
  <si>
    <t>Lake Ariana</t>
  </si>
  <si>
    <t>Cynthia Haas</t>
  </si>
  <si>
    <t>Gabriela Smith</t>
  </si>
  <si>
    <t>East Heather</t>
  </si>
  <si>
    <t>Amber Kim</t>
  </si>
  <si>
    <t>Costachester</t>
  </si>
  <si>
    <t>Ashley Mendoza</t>
  </si>
  <si>
    <t>East Shannon</t>
  </si>
  <si>
    <t>Trevor Jones</t>
  </si>
  <si>
    <t>South Eugene</t>
  </si>
  <si>
    <t>William Barry</t>
  </si>
  <si>
    <t>South Sherriburgh</t>
  </si>
  <si>
    <t>Daniel Lee</t>
  </si>
  <si>
    <t>Joshua Henry</t>
  </si>
  <si>
    <t>West Adamland</t>
  </si>
  <si>
    <t>Christina Johnson</t>
  </si>
  <si>
    <t>Lake Kelly</t>
  </si>
  <si>
    <t>James Burns</t>
  </si>
  <si>
    <t>Christopherside</t>
  </si>
  <si>
    <t>Jaclyn Griffin</t>
  </si>
  <si>
    <t>Scottview</t>
  </si>
  <si>
    <t>Paul Contreras</t>
  </si>
  <si>
    <t>Lake Mauriceside</t>
  </si>
  <si>
    <t>Sara Cardenas</t>
  </si>
  <si>
    <t>Sheppardfort</t>
  </si>
  <si>
    <t>Steven Klein</t>
  </si>
  <si>
    <t>North Stacy</t>
  </si>
  <si>
    <t>Rhonda Martinez</t>
  </si>
  <si>
    <t>Millerchester</t>
  </si>
  <si>
    <t>Deanna Bartlett</t>
  </si>
  <si>
    <t>North Paulfurt</t>
  </si>
  <si>
    <t>Shane Buchanan</t>
  </si>
  <si>
    <t>Rodriguezberg</t>
  </si>
  <si>
    <t>Traci Garcia</t>
  </si>
  <si>
    <t>New Kimberlyport</t>
  </si>
  <si>
    <t>Matthew Armstrong</t>
  </si>
  <si>
    <t>Johnsonview</t>
  </si>
  <si>
    <t>Melissa Williams</t>
  </si>
  <si>
    <t>Hannahton</t>
  </si>
  <si>
    <t>Robert Turner</t>
  </si>
  <si>
    <t>Meganville</t>
  </si>
  <si>
    <t>Jessica Petersen</t>
  </si>
  <si>
    <t>Jessicaland</t>
  </si>
  <si>
    <t>Jennifer Washington</t>
  </si>
  <si>
    <t>Lorihaven</t>
  </si>
  <si>
    <t>Jennifer Deleon</t>
  </si>
  <si>
    <t>East Jamesborough</t>
  </si>
  <si>
    <t>Thomas Bush</t>
  </si>
  <si>
    <t>Michealmouth</t>
  </si>
  <si>
    <t>Melanie Allen</t>
  </si>
  <si>
    <t>Wheelerburgh</t>
  </si>
  <si>
    <t>Christopher Kline</t>
  </si>
  <si>
    <t>West Anthonyton</t>
  </si>
  <si>
    <t>Maria Byrd</t>
  </si>
  <si>
    <t>Denisehaven</t>
  </si>
  <si>
    <t>Carlos Thompson</t>
  </si>
  <si>
    <t>East Johnnyport</t>
  </si>
  <si>
    <t>Judy Robinson</t>
  </si>
  <si>
    <t>Ericafurt</t>
  </si>
  <si>
    <t>Dr. Sara Hoffman DDS</t>
  </si>
  <si>
    <t>Kennethville</t>
  </si>
  <si>
    <t>Margaret Hensley MD</t>
  </si>
  <si>
    <t>Jacobhaven</t>
  </si>
  <si>
    <t>Francisco Taylor</t>
  </si>
  <si>
    <t>Lake Tylerport</t>
  </si>
  <si>
    <t>Andrew Erickson</t>
  </si>
  <si>
    <t>West Jessica</t>
  </si>
  <si>
    <t>Karen Shepard</t>
  </si>
  <si>
    <t>Williamburgh</t>
  </si>
  <si>
    <t>Patrick Hardy</t>
  </si>
  <si>
    <t>Lake Rachel</t>
  </si>
  <si>
    <t>Seth Fisher</t>
  </si>
  <si>
    <t>Nathanshire</t>
  </si>
  <si>
    <t>Sean Silva</t>
  </si>
  <si>
    <t>South Pamelahaven</t>
  </si>
  <si>
    <t>Jennifer Pitts</t>
  </si>
  <si>
    <t>East Victoria</t>
  </si>
  <si>
    <t>Victoria Thomas</t>
  </si>
  <si>
    <t>Port Christopher</t>
  </si>
  <si>
    <t>Anthony Hayes</t>
  </si>
  <si>
    <t>Port Kim</t>
  </si>
  <si>
    <t>Jeffrey Jordan</t>
  </si>
  <si>
    <t>Sanfordfurt</t>
  </si>
  <si>
    <t>Jake Smith</t>
  </si>
  <si>
    <t>Katherinehaven</t>
  </si>
  <si>
    <t>Danielle Steele</t>
  </si>
  <si>
    <t>Larryville</t>
  </si>
  <si>
    <t>Austin Williams</t>
  </si>
  <si>
    <t>Stephenhaven</t>
  </si>
  <si>
    <t>Whitney Cooper</t>
  </si>
  <si>
    <t>Howardborough</t>
  </si>
  <si>
    <t>Nicholas Anderson</t>
  </si>
  <si>
    <t>New Williamville</t>
  </si>
  <si>
    <t>Martin Wise</t>
  </si>
  <si>
    <t>New Virginiaville</t>
  </si>
  <si>
    <t>James Kelley</t>
  </si>
  <si>
    <t>Milesborough</t>
  </si>
  <si>
    <t>Mary Nelson</t>
  </si>
  <si>
    <t>South Maria</t>
  </si>
  <si>
    <t>Brian Rodriguez</t>
  </si>
  <si>
    <t>New James</t>
  </si>
  <si>
    <t>Jason Martin</t>
  </si>
  <si>
    <t>Lozanofort</t>
  </si>
  <si>
    <t>Brandon Rodriguez</t>
  </si>
  <si>
    <t>Hernandezland</t>
  </si>
  <si>
    <t>Maria Bryant</t>
  </si>
  <si>
    <t>Josephton</t>
  </si>
  <si>
    <t>Heather Rhodes</t>
  </si>
  <si>
    <t>Rodgersville</t>
  </si>
  <si>
    <t>Carolyn Howard</t>
  </si>
  <si>
    <t>Friedmanview</t>
  </si>
  <si>
    <t>James Rivers</t>
  </si>
  <si>
    <t>Maryfort</t>
  </si>
  <si>
    <t>Michael Brown</t>
  </si>
  <si>
    <t>North Robert</t>
  </si>
  <si>
    <t>James Howard</t>
  </si>
  <si>
    <t>Port Gabrielleberg</t>
  </si>
  <si>
    <t>Jessica Brown</t>
  </si>
  <si>
    <t>Alexanderhaven</t>
  </si>
  <si>
    <t>Melissa Montgomery</t>
  </si>
  <si>
    <t>Stanleybury</t>
  </si>
  <si>
    <t>Ronald Mcclain</t>
  </si>
  <si>
    <t>North Dawnburgh</t>
  </si>
  <si>
    <t>Angela Vasquez</t>
  </si>
  <si>
    <t>West Tara</t>
  </si>
  <si>
    <t>Jamie Montoya</t>
  </si>
  <si>
    <t>South Seanshire</t>
  </si>
  <si>
    <t>Bryan Jimenez</t>
  </si>
  <si>
    <t>North Richardton</t>
  </si>
  <si>
    <t>Marcia Wu</t>
  </si>
  <si>
    <t>Lake Emily</t>
  </si>
  <si>
    <t>Sarah Rivera</t>
  </si>
  <si>
    <t>Moranstad</t>
  </si>
  <si>
    <t>Courtney Peterson</t>
  </si>
  <si>
    <t>Amystad</t>
  </si>
  <si>
    <t>Rodney Newton MD</t>
  </si>
  <si>
    <t>Cherylborough</t>
  </si>
  <si>
    <t>Richard Love</t>
  </si>
  <si>
    <t>Port Robertshire</t>
  </si>
  <si>
    <t>Tina Taylor</t>
  </si>
  <si>
    <t>Smithton</t>
  </si>
  <si>
    <t>Priscilla Kent</t>
  </si>
  <si>
    <t>Lake Lisa</t>
  </si>
  <si>
    <t>Erica Keith</t>
  </si>
  <si>
    <t>Pettybury</t>
  </si>
  <si>
    <t>Jodi Anderson</t>
  </si>
  <si>
    <t>Morrisonhaven</t>
  </si>
  <si>
    <t>Michelle Walls</t>
  </si>
  <si>
    <t>East Jason</t>
  </si>
  <si>
    <t>Brandi Page</t>
  </si>
  <si>
    <t>New Amy</t>
  </si>
  <si>
    <t>Kristina Aguilar</t>
  </si>
  <si>
    <t>Craigside</t>
  </si>
  <si>
    <t>Allison Thomas</t>
  </si>
  <si>
    <t>East Josephburgh</t>
  </si>
  <si>
    <t>Antonio Mueller</t>
  </si>
  <si>
    <t>Port Amber</t>
  </si>
  <si>
    <t>Megan Hoffman</t>
  </si>
  <si>
    <t>Lake Deborah</t>
  </si>
  <si>
    <t>Rebecca Roberts</t>
  </si>
  <si>
    <t>South Paulmouth</t>
  </si>
  <si>
    <t>Sean Dalton</t>
  </si>
  <si>
    <t>Greerstad</t>
  </si>
  <si>
    <t>Christopher Fleming</t>
  </si>
  <si>
    <t>Justin Anderson</t>
  </si>
  <si>
    <t>Adammouth</t>
  </si>
  <si>
    <t>Linda Ayala</t>
  </si>
  <si>
    <t>Tracyshire</t>
  </si>
  <si>
    <t>Tina Meyer</t>
  </si>
  <si>
    <t>South Amy</t>
  </si>
  <si>
    <t>Daniel Rivera</t>
  </si>
  <si>
    <t>Kellyhaven</t>
  </si>
  <si>
    <t>Gregory Allen</t>
  </si>
  <si>
    <t>North Felicia</t>
  </si>
  <si>
    <t>Joshua Campbell</t>
  </si>
  <si>
    <t>Williehaven</t>
  </si>
  <si>
    <t>Matthew Flores</t>
  </si>
  <si>
    <t>North Garyside</t>
  </si>
  <si>
    <t>Michael Ayala</t>
  </si>
  <si>
    <t>Houstonborough</t>
  </si>
  <si>
    <t>Teresa Burgess</t>
  </si>
  <si>
    <t>North Stephen</t>
  </si>
  <si>
    <t>Christopher King</t>
  </si>
  <si>
    <t>New Lorraineview</t>
  </si>
  <si>
    <t>Jessica Smith</t>
  </si>
  <si>
    <t>New Adamland</t>
  </si>
  <si>
    <t>Jonathan Roberts</t>
  </si>
  <si>
    <t>Catherineport</t>
  </si>
  <si>
    <t>Amanda Moore</t>
  </si>
  <si>
    <t>East Julie</t>
  </si>
  <si>
    <t>Stephen Sanford</t>
  </si>
  <si>
    <t>Susantown</t>
  </si>
  <si>
    <t>Kyle Medina</t>
  </si>
  <si>
    <t>West Jasonstad</t>
  </si>
  <si>
    <t>Clinton Jensen</t>
  </si>
  <si>
    <t>Jamesburgh</t>
  </si>
  <si>
    <t>Angel Powers</t>
  </si>
  <si>
    <t>Coreyshire</t>
  </si>
  <si>
    <t>Matthew Garcia</t>
  </si>
  <si>
    <t>East Louismouth</t>
  </si>
  <si>
    <t>Brittany Knight</t>
  </si>
  <si>
    <t>Susanburgh</t>
  </si>
  <si>
    <t>Michelle Davidson</t>
  </si>
  <si>
    <t>Maryberg</t>
  </si>
  <si>
    <t>Raymond Tucker</t>
  </si>
  <si>
    <t>East Debbieland</t>
  </si>
  <si>
    <t>Nicholas Sims</t>
  </si>
  <si>
    <t>North Melissatown</t>
  </si>
  <si>
    <t>Kristen Stephens</t>
  </si>
  <si>
    <t>Valdezberg</t>
  </si>
  <si>
    <t>Leah Vincent</t>
  </si>
  <si>
    <t>South Walter</t>
  </si>
  <si>
    <t>Mary Charles</t>
  </si>
  <si>
    <t>Port Willie</t>
  </si>
  <si>
    <t>Krystal Brennan</t>
  </si>
  <si>
    <t>Lake Jessica</t>
  </si>
  <si>
    <t>Crystal Baker</t>
  </si>
  <si>
    <t>North Elizabeth</t>
  </si>
  <si>
    <t>Jesse Williams</t>
  </si>
  <si>
    <t>Dakotahaven</t>
  </si>
  <si>
    <t>Laura Bennett</t>
  </si>
  <si>
    <t>Diazland</t>
  </si>
  <si>
    <t>Courtney Sullivan</t>
  </si>
  <si>
    <t>Tommyfort</t>
  </si>
  <si>
    <t>David Robertson</t>
  </si>
  <si>
    <t>Jasonburgh</t>
  </si>
  <si>
    <t>Bailey Hall</t>
  </si>
  <si>
    <t>Jenniferfort</t>
  </si>
  <si>
    <t>Maria Jenkins</t>
  </si>
  <si>
    <t>North David</t>
  </si>
  <si>
    <t>Stephanie Thomas</t>
  </si>
  <si>
    <t>West Sandra</t>
  </si>
  <si>
    <t>Marcia Johns</t>
  </si>
  <si>
    <t>Staceyborough</t>
  </si>
  <si>
    <t>Carolyn Greer</t>
  </si>
  <si>
    <t>Port Brandi</t>
  </si>
  <si>
    <t>Nathaniel Cooper</t>
  </si>
  <si>
    <t>Carlsonland</t>
  </si>
  <si>
    <t>Alan Mills</t>
  </si>
  <si>
    <t>Serranoville</t>
  </si>
  <si>
    <t>Sherry Schmidt</t>
  </si>
  <si>
    <t>North Timothyberg</t>
  </si>
  <si>
    <t>Jacqueline Williams</t>
  </si>
  <si>
    <t>Perezfort</t>
  </si>
  <si>
    <t>Susan Hood</t>
  </si>
  <si>
    <t>South Dennisfort</t>
  </si>
  <si>
    <t>Kimberly Scott</t>
  </si>
  <si>
    <t>Lake Juliatown</t>
  </si>
  <si>
    <t>Matthew Watts</t>
  </si>
  <si>
    <t>Robertville</t>
  </si>
  <si>
    <t>Scott Henderson</t>
  </si>
  <si>
    <t>Cherylfurt</t>
  </si>
  <si>
    <t>Karen Wood</t>
  </si>
  <si>
    <t>Kingport</t>
  </si>
  <si>
    <t>Sarah Hopkins</t>
  </si>
  <si>
    <t>South Krista</t>
  </si>
  <si>
    <t>Rachel Owen</t>
  </si>
  <si>
    <t>East Paultown</t>
  </si>
  <si>
    <t>Bobby Johnson</t>
  </si>
  <si>
    <t>Ariasfurt</t>
  </si>
  <si>
    <t>Raymond Thompson</t>
  </si>
  <si>
    <t>Gonzalesborough</t>
  </si>
  <si>
    <t>Kyle Black</t>
  </si>
  <si>
    <t>New Gavin</t>
  </si>
  <si>
    <t>Vanessa Miller</t>
  </si>
  <si>
    <t>Kimberlystad</t>
  </si>
  <si>
    <t>Adrian Padilla</t>
  </si>
  <si>
    <t>New Justinside</t>
  </si>
  <si>
    <t>Victor Gibson</t>
  </si>
  <si>
    <t>Andrewsview</t>
  </si>
  <si>
    <t>Benjamin Phillips</t>
  </si>
  <si>
    <t>Port Williamview</t>
  </si>
  <si>
    <t>Tracy Hart</t>
  </si>
  <si>
    <t>Port Matthew</t>
  </si>
  <si>
    <t>Shannon Olson</t>
  </si>
  <si>
    <t>Carlosbury</t>
  </si>
  <si>
    <t>Kelli Smith</t>
  </si>
  <si>
    <t>Johnland</t>
  </si>
  <si>
    <t>Timothy Woods</t>
  </si>
  <si>
    <t>Jefferyshire</t>
  </si>
  <si>
    <t>Mr. Nicolas Salas II</t>
  </si>
  <si>
    <t>Blake Sosa</t>
  </si>
  <si>
    <t>Austinside</t>
  </si>
  <si>
    <t>Katherine Galloway</t>
  </si>
  <si>
    <t>Travishaven</t>
  </si>
  <si>
    <t>Bethany Fox</t>
  </si>
  <si>
    <t>Mendozaside</t>
  </si>
  <si>
    <t>Michael Thompson</t>
  </si>
  <si>
    <t>Lake Aprilmouth</t>
  </si>
  <si>
    <t>Brian Ward</t>
  </si>
  <si>
    <t>Jacobview</t>
  </si>
  <si>
    <t>Grace White</t>
  </si>
  <si>
    <t>Clarkstad</t>
  </si>
  <si>
    <t>Kenneth Krause</t>
  </si>
  <si>
    <t>Port Cory</t>
  </si>
  <si>
    <t>James Thomas</t>
  </si>
  <si>
    <t>South Linda</t>
  </si>
  <si>
    <t>Steven Mccoy</t>
  </si>
  <si>
    <t>Kristenport</t>
  </si>
  <si>
    <t>Brett Martin</t>
  </si>
  <si>
    <t>Port Jonathan</t>
  </si>
  <si>
    <t>Isaac Grant</t>
  </si>
  <si>
    <t>Mauricechester</t>
  </si>
  <si>
    <t>Kenneth Banks</t>
  </si>
  <si>
    <t>Port Justin</t>
  </si>
  <si>
    <t>Dr. Steve James</t>
  </si>
  <si>
    <t>Stevenberg</t>
  </si>
  <si>
    <t>Logan Sullivan</t>
  </si>
  <si>
    <t>North Fernandobury</t>
  </si>
  <si>
    <t>Lisa Foster</t>
  </si>
  <si>
    <t>Normanstad</t>
  </si>
  <si>
    <t>Scott Martinez</t>
  </si>
  <si>
    <t>Lake Johnathan</t>
  </si>
  <si>
    <t>Brendan Zuniga</t>
  </si>
  <si>
    <t>Kelleytown</t>
  </si>
  <si>
    <t>Luke Miller</t>
  </si>
  <si>
    <t>Parkerbury</t>
  </si>
  <si>
    <t>Joseph Jackson</t>
  </si>
  <si>
    <t>Lake Michaelmouth</t>
  </si>
  <si>
    <t>Kimberly Taylor</t>
  </si>
  <si>
    <t>New Carla</t>
  </si>
  <si>
    <t>Emily Reed</t>
  </si>
  <si>
    <t>Eric Smith</t>
  </si>
  <si>
    <t>West Justin</t>
  </si>
  <si>
    <t>Karen Smith</t>
  </si>
  <si>
    <t>Yatesbury</t>
  </si>
  <si>
    <t>Stephen Kim</t>
  </si>
  <si>
    <t>East Jennifer</t>
  </si>
  <si>
    <t>Jay Allen</t>
  </si>
  <si>
    <t>Justinside</t>
  </si>
  <si>
    <t>Catherine Roberts</t>
  </si>
  <si>
    <t>Williamsonview</t>
  </si>
  <si>
    <t>Anthony Nichols</t>
  </si>
  <si>
    <t>North Julian</t>
  </si>
  <si>
    <t>Crystal Hernandez</t>
  </si>
  <si>
    <t>Rick Rivera</t>
  </si>
  <si>
    <t>Corey Skinner</t>
  </si>
  <si>
    <t>Claytonville</t>
  </si>
  <si>
    <t>Zachary Gonzalez</t>
  </si>
  <si>
    <t>New Elizabethborough</t>
  </si>
  <si>
    <t>Caitlin Chandler</t>
  </si>
  <si>
    <t>West Timothyport</t>
  </si>
  <si>
    <t>Claudia Rodriguez</t>
  </si>
  <si>
    <t>Nguyenburgh</t>
  </si>
  <si>
    <t>David Novak</t>
  </si>
  <si>
    <t>Barkerberg</t>
  </si>
  <si>
    <t>Brandon Montgomery</t>
  </si>
  <si>
    <t>North Michaelberg</t>
  </si>
  <si>
    <t>Eugene Grant DDS</t>
  </si>
  <si>
    <t>Lindamouth</t>
  </si>
  <si>
    <t>Chad Roach</t>
  </si>
  <si>
    <t>Mannside</t>
  </si>
  <si>
    <t>Cody Bailey</t>
  </si>
  <si>
    <t>Hillside</t>
  </si>
  <si>
    <t>Edward Baker</t>
  </si>
  <si>
    <t>Shawnhaven</t>
  </si>
  <si>
    <t>Lisa Diaz</t>
  </si>
  <si>
    <t>West Jennifer</t>
  </si>
  <si>
    <t>Pamela Moore</t>
  </si>
  <si>
    <t>Marcusmouth</t>
  </si>
  <si>
    <t>Amanda Pace</t>
  </si>
  <si>
    <t>Port Anthony</t>
  </si>
  <si>
    <t>Kenneth Huff</t>
  </si>
  <si>
    <t>Foxshire</t>
  </si>
  <si>
    <t>Mitchell Smith</t>
  </si>
  <si>
    <t>Lake Travis</t>
  </si>
  <si>
    <t>Justin Hurley</t>
  </si>
  <si>
    <t>Shortton</t>
  </si>
  <si>
    <t>Sandra Miller</t>
  </si>
  <si>
    <t>New Colton</t>
  </si>
  <si>
    <t>Joseph Wright</t>
  </si>
  <si>
    <t>New Kara</t>
  </si>
  <si>
    <t>Laura Craig</t>
  </si>
  <si>
    <t>Andradeburgh</t>
  </si>
  <si>
    <t>Mary Ferguson</t>
  </si>
  <si>
    <t>Mahoneymouth</t>
  </si>
  <si>
    <t>Jessica Swanson</t>
  </si>
  <si>
    <t>Jesse Moyer</t>
  </si>
  <si>
    <t>Lake Austinport</t>
  </si>
  <si>
    <t>Elizabeth Evans MD</t>
  </si>
  <si>
    <t>Andrewview</t>
  </si>
  <si>
    <t>Brittney Johnson</t>
  </si>
  <si>
    <t>Ericview</t>
  </si>
  <si>
    <t>Robert Davis</t>
  </si>
  <si>
    <t>Carrollborough</t>
  </si>
  <si>
    <t>Carrie Petersen</t>
  </si>
  <si>
    <t>New Dawnton</t>
  </si>
  <si>
    <t>Felicia Hobbs</t>
  </si>
  <si>
    <t>Butlerville</t>
  </si>
  <si>
    <t>Madison Chen</t>
  </si>
  <si>
    <t>West Alicemouth</t>
  </si>
  <si>
    <t>Brittany Nunez</t>
  </si>
  <si>
    <t>Maddoxshire</t>
  </si>
  <si>
    <t>Richard Hernandez</t>
  </si>
  <si>
    <t>Christophershire</t>
  </si>
  <si>
    <t>James Hamilton</t>
  </si>
  <si>
    <t>Port Dennis</t>
  </si>
  <si>
    <t>Christina Gilbert</t>
  </si>
  <si>
    <t>East Charles</t>
  </si>
  <si>
    <t>Michael Henderson</t>
  </si>
  <si>
    <t>Jamesstad</t>
  </si>
  <si>
    <t>Lisa Branch MD</t>
  </si>
  <si>
    <t>South Brady</t>
  </si>
  <si>
    <t>Nicholas Miller</t>
  </si>
  <si>
    <t>East Stacyberg</t>
  </si>
  <si>
    <t>Ashley Cole</t>
  </si>
  <si>
    <t>West Jasonside</t>
  </si>
  <si>
    <t>Deanna Webb</t>
  </si>
  <si>
    <t>Lake Holly</t>
  </si>
  <si>
    <t>Kelsey Scott</t>
  </si>
  <si>
    <t>West Jamesview</t>
  </si>
  <si>
    <t>Matthew Alvarado</t>
  </si>
  <si>
    <t>James Bray</t>
  </si>
  <si>
    <t>West Toddside</t>
  </si>
  <si>
    <t>Judith House</t>
  </si>
  <si>
    <t>North Johnhaven</t>
  </si>
  <si>
    <t>Christopher Reed</t>
  </si>
  <si>
    <t>Michaelport</t>
  </si>
  <si>
    <t>Lori Johns</t>
  </si>
  <si>
    <t>New Stacybury</t>
  </si>
  <si>
    <t>Anita Reyes</t>
  </si>
  <si>
    <t>Erin Daniels</t>
  </si>
  <si>
    <t>Lake Dillon</t>
  </si>
  <si>
    <t>Stephanie Browning</t>
  </si>
  <si>
    <t>Forbesberg</t>
  </si>
  <si>
    <t>Tiffany Wilson</t>
  </si>
  <si>
    <t>Elizabeth Reese</t>
  </si>
  <si>
    <t>Edwinborough</t>
  </si>
  <si>
    <t>William Jensen</t>
  </si>
  <si>
    <t>New Jesse</t>
  </si>
  <si>
    <t>Karen Shaw</t>
  </si>
  <si>
    <t>Josephstad</t>
  </si>
  <si>
    <t>Christopher Perez</t>
  </si>
  <si>
    <t>Durantown</t>
  </si>
  <si>
    <t>Virginia Todd</t>
  </si>
  <si>
    <t>East Saramouth</t>
  </si>
  <si>
    <t>Stacy Patterson</t>
  </si>
  <si>
    <t>New Jillfurt</t>
  </si>
  <si>
    <t>Laura Herrera</t>
  </si>
  <si>
    <t>New Danielmouth</t>
  </si>
  <si>
    <t>Victoria Williams</t>
  </si>
  <si>
    <t>Blackton</t>
  </si>
  <si>
    <t>Eric Carey</t>
  </si>
  <si>
    <t>Jacksonport</t>
  </si>
  <si>
    <t>Julie Lucas</t>
  </si>
  <si>
    <t>Lake Vincentburgh</t>
  </si>
  <si>
    <t>Alexander Chavez</t>
  </si>
  <si>
    <t>South Christopher</t>
  </si>
  <si>
    <t>Becky Wilson</t>
  </si>
  <si>
    <t>Waltersland</t>
  </si>
  <si>
    <t>Vanessa Salazar</t>
  </si>
  <si>
    <t>Mary Hernandez</t>
  </si>
  <si>
    <t>East Kayla</t>
  </si>
  <si>
    <t>Randy Griffin</t>
  </si>
  <si>
    <t>North Rachel</t>
  </si>
  <si>
    <t>Alexandria Jimenez</t>
  </si>
  <si>
    <t>Stephenstown</t>
  </si>
  <si>
    <t>Karen Ortiz</t>
  </si>
  <si>
    <t>New Carolbury</t>
  </si>
  <si>
    <t>Samantha Williams</t>
  </si>
  <si>
    <t>North Denise</t>
  </si>
  <si>
    <t>Sara Evans</t>
  </si>
  <si>
    <t>North Danielburgh</t>
  </si>
  <si>
    <t>Melissa Larson</t>
  </si>
  <si>
    <t>South Kara</t>
  </si>
  <si>
    <t>Erica Merritt</t>
  </si>
  <si>
    <t>Port Ronaldside</t>
  </si>
  <si>
    <t>Michael Hill</t>
  </si>
  <si>
    <t>Warrenborough</t>
  </si>
  <si>
    <t>Lori Benitez</t>
  </si>
  <si>
    <t>Ramseyport</t>
  </si>
  <si>
    <t>Kenneth Hanson</t>
  </si>
  <si>
    <t>New Anna</t>
  </si>
  <si>
    <t>Dr. Stephen Hall IV</t>
  </si>
  <si>
    <t>Christine Gilbert</t>
  </si>
  <si>
    <t>Gutierrezmouth</t>
  </si>
  <si>
    <t>Martin Vaughn</t>
  </si>
  <si>
    <t>Kristyport</t>
  </si>
  <si>
    <t>Aaron Jennings</t>
  </si>
  <si>
    <t>Randyshire</t>
  </si>
  <si>
    <t>George Chambers</t>
  </si>
  <si>
    <t>Roblesberg</t>
  </si>
  <si>
    <t>Sean Huang</t>
  </si>
  <si>
    <t>Bowerschester</t>
  </si>
  <si>
    <t>Megan Peters</t>
  </si>
  <si>
    <t>East Barbaramouth</t>
  </si>
  <si>
    <t>Andre Terrell</t>
  </si>
  <si>
    <t>New Catherine</t>
  </si>
  <si>
    <t>Nicole Thornton</t>
  </si>
  <si>
    <t>Jenniferview</t>
  </si>
  <si>
    <t>Jacqueline Gallegos</t>
  </si>
  <si>
    <t>Javierport</t>
  </si>
  <si>
    <t>Paula Gentry</t>
  </si>
  <si>
    <t>Hunterfort</t>
  </si>
  <si>
    <t>John Russo</t>
  </si>
  <si>
    <t>Kimberlyberg</t>
  </si>
  <si>
    <t>Andrew Hughes</t>
  </si>
  <si>
    <t>North Larryton</t>
  </si>
  <si>
    <t>Ashley Miranda</t>
  </si>
  <si>
    <t>Andrewport</t>
  </si>
  <si>
    <t>Donald Flores</t>
  </si>
  <si>
    <t>Lambertview</t>
  </si>
  <si>
    <t>Tyler Castro</t>
  </si>
  <si>
    <t>East Amyside</t>
  </si>
  <si>
    <t>Regina Andrews</t>
  </si>
  <si>
    <t>North Larry</t>
  </si>
  <si>
    <t>Allen Berger</t>
  </si>
  <si>
    <t>North Patrickland</t>
  </si>
  <si>
    <t>Stephanie Soto</t>
  </si>
  <si>
    <t>Jensenport</t>
  </si>
  <si>
    <t>Thomas Duran</t>
  </si>
  <si>
    <t>North Lisa</t>
  </si>
  <si>
    <t>Matthew Miranda</t>
  </si>
  <si>
    <t>Hallbury</t>
  </si>
  <si>
    <t>Jenna Lyons</t>
  </si>
  <si>
    <t>Kristinamouth</t>
  </si>
  <si>
    <t>Brian Mendoza</t>
  </si>
  <si>
    <t>West Katrina</t>
  </si>
  <si>
    <t>Miguel Rodriguez</t>
  </si>
  <si>
    <t>Port Kevinmouth</t>
  </si>
  <si>
    <t>David Moore</t>
  </si>
  <si>
    <t>Reyesmouth</t>
  </si>
  <si>
    <t>William Bradley</t>
  </si>
  <si>
    <t>Amybury</t>
  </si>
  <si>
    <t>Michelle Copeland</t>
  </si>
  <si>
    <t>New Caitlinmouth</t>
  </si>
  <si>
    <t>Jared George</t>
  </si>
  <si>
    <t>Murphyton</t>
  </si>
  <si>
    <t>Stephanie Fields</t>
  </si>
  <si>
    <t>Port Dwayneberg</t>
  </si>
  <si>
    <t>Kenneth Gonzalez</t>
  </si>
  <si>
    <t>Kevinport</t>
  </si>
  <si>
    <t>Lauren Carr DDS</t>
  </si>
  <si>
    <t>Port Kelly</t>
  </si>
  <si>
    <t>Justin Irwin</t>
  </si>
  <si>
    <t>Port Juliantown</t>
  </si>
  <si>
    <t>Evan Reyes</t>
  </si>
  <si>
    <t>Grahamborough</t>
  </si>
  <si>
    <t>James Middleton</t>
  </si>
  <si>
    <t>Mooreberg</t>
  </si>
  <si>
    <t>Brianna Dyer</t>
  </si>
  <si>
    <t>Proctorberg</t>
  </si>
  <si>
    <t>Stephanie Dominguez</t>
  </si>
  <si>
    <t>Hansonmouth</t>
  </si>
  <si>
    <t>Janice Perez</t>
  </si>
  <si>
    <t>Jacobsshire</t>
  </si>
  <si>
    <t>Debra House</t>
  </si>
  <si>
    <t>Arthurton</t>
  </si>
  <si>
    <t>John Vaughn</t>
  </si>
  <si>
    <t>Steve Davis</t>
  </si>
  <si>
    <t>Mccoyland</t>
  </si>
  <si>
    <t>Kimberly Smith</t>
  </si>
  <si>
    <t>Huntfort</t>
  </si>
  <si>
    <t>Thomas Curry</t>
  </si>
  <si>
    <t>Bryanfort</t>
  </si>
  <si>
    <t>Dorothy Mclaughlin</t>
  </si>
  <si>
    <t>West Toddberg</t>
  </si>
  <si>
    <t>Luis Hill</t>
  </si>
  <si>
    <t>Alexisville</t>
  </si>
  <si>
    <t>Jacqueline Thompson</t>
  </si>
  <si>
    <t>South Henry</t>
  </si>
  <si>
    <t>Dr. Linda Underwood</t>
  </si>
  <si>
    <t>Mullinschester</t>
  </si>
  <si>
    <t>Carol Lane</t>
  </si>
  <si>
    <t>Brianview</t>
  </si>
  <si>
    <t>John Alvarez</t>
  </si>
  <si>
    <t>South Frances</t>
  </si>
  <si>
    <t>Seth Smith</t>
  </si>
  <si>
    <t>Joseph Gomez</t>
  </si>
  <si>
    <t>Bishopview</t>
  </si>
  <si>
    <t>Dawn Silva</t>
  </si>
  <si>
    <t>Mejiabury</t>
  </si>
  <si>
    <t>Wendy Edwards</t>
  </si>
  <si>
    <t>Lake Alanland</t>
  </si>
  <si>
    <t>Melissa Bell</t>
  </si>
  <si>
    <t>Johnathanton</t>
  </si>
  <si>
    <t>Kristopher Shannon</t>
  </si>
  <si>
    <t>New Danielle</t>
  </si>
  <si>
    <t>Matthew Yoder</t>
  </si>
  <si>
    <t>North Heather</t>
  </si>
  <si>
    <t>Angela Chavez</t>
  </si>
  <si>
    <t>Kaylamouth</t>
  </si>
  <si>
    <t>Antonio Price</t>
  </si>
  <si>
    <t>West Stephanieview</t>
  </si>
  <si>
    <t>Timothy Bishop Jr.</t>
  </si>
  <si>
    <t>Rodriguezside</t>
  </si>
  <si>
    <t>Susan Baldwin</t>
  </si>
  <si>
    <t>North Charlesshire</t>
  </si>
  <si>
    <t>Brittany Bowman</t>
  </si>
  <si>
    <t>Lake Peterberg</t>
  </si>
  <si>
    <t>Michael Wise</t>
  </si>
  <si>
    <t>Grahamland</t>
  </si>
  <si>
    <t>Sabrina Olson</t>
  </si>
  <si>
    <t>Mathewport</t>
  </si>
  <si>
    <t>Maria Diaz DVM</t>
  </si>
  <si>
    <t>Christophermouth</t>
  </si>
  <si>
    <t>Andrew Cruz</t>
  </si>
  <si>
    <t>West Heather</t>
  </si>
  <si>
    <t>Dr. Jeffrey Lopez</t>
  </si>
  <si>
    <t>East Anthonyshire</t>
  </si>
  <si>
    <t>Joshua Parker</t>
  </si>
  <si>
    <t>Levytown</t>
  </si>
  <si>
    <t>Nathan Sullivan</t>
  </si>
  <si>
    <t>Port Desiree</t>
  </si>
  <si>
    <t>Kerry Buckley</t>
  </si>
  <si>
    <t>Lake Donaldtown</t>
  </si>
  <si>
    <t>Matthew Smith</t>
  </si>
  <si>
    <t>West Loriville</t>
  </si>
  <si>
    <t>Amy Roth</t>
  </si>
  <si>
    <t>South Brookebury</t>
  </si>
  <si>
    <t>Russell Rojas</t>
  </si>
  <si>
    <t>Nguyenshire</t>
  </si>
  <si>
    <t>Leslie Rogers</t>
  </si>
  <si>
    <t>West Donaldchester</t>
  </si>
  <si>
    <t>Jessica Frost</t>
  </si>
  <si>
    <t>East Craigfurt</t>
  </si>
  <si>
    <t>Adam Howe</t>
  </si>
  <si>
    <t>Robertfort</t>
  </si>
  <si>
    <t>Kelly Jenkins</t>
  </si>
  <si>
    <t>New Heather</t>
  </si>
  <si>
    <t>Anita Serrano</t>
  </si>
  <si>
    <t>Michaeltown</t>
  </si>
  <si>
    <t>Dr. Lisa Huffman</t>
  </si>
  <si>
    <t>South Kaylee</t>
  </si>
  <si>
    <t>Robert Jennings</t>
  </si>
  <si>
    <t>Jimenezburgh</t>
  </si>
  <si>
    <t>Jeffrey Cook</t>
  </si>
  <si>
    <t>Williamston</t>
  </si>
  <si>
    <t>Karina Wilson</t>
  </si>
  <si>
    <t>Lake Sean</t>
  </si>
  <si>
    <t>Stephanie Hall</t>
  </si>
  <si>
    <t>West Jeremybury</t>
  </si>
  <si>
    <t>Angel Richards</t>
  </si>
  <si>
    <t>South Dustinmouth</t>
  </si>
  <si>
    <t>Nathan Chen</t>
  </si>
  <si>
    <t>Jamesberg</t>
  </si>
  <si>
    <t>Chad York</t>
  </si>
  <si>
    <t>Barnesmouth</t>
  </si>
  <si>
    <t>Robert Cisneros</t>
  </si>
  <si>
    <t>New Tara</t>
  </si>
  <si>
    <t>Katherine Forbes</t>
  </si>
  <si>
    <t>Hoodview</t>
  </si>
  <si>
    <t>Danielle Murphy</t>
  </si>
  <si>
    <t>New Sophia</t>
  </si>
  <si>
    <t>John Mack</t>
  </si>
  <si>
    <t>South Amandafort</t>
  </si>
  <si>
    <t>Justin Smith</t>
  </si>
  <si>
    <t>Dodsonberg</t>
  </si>
  <si>
    <t>Ann Castillo</t>
  </si>
  <si>
    <t>Evanmouth</t>
  </si>
  <si>
    <t>Shelly Sullivan</t>
  </si>
  <si>
    <t>Courtneytown</t>
  </si>
  <si>
    <t>Elizabeth Mullins</t>
  </si>
  <si>
    <t>Port Gail</t>
  </si>
  <si>
    <t>Susan Cox</t>
  </si>
  <si>
    <t>North Patrickmouth</t>
  </si>
  <si>
    <t>Justin Jones</t>
  </si>
  <si>
    <t>East Tina</t>
  </si>
  <si>
    <t>Nancy Goodwin</t>
  </si>
  <si>
    <t>Port Julie</t>
  </si>
  <si>
    <t>Kathy Henderson</t>
  </si>
  <si>
    <t>North Nathanmouth</t>
  </si>
  <si>
    <t>Julie Patel</t>
  </si>
  <si>
    <t>Shannonstad</t>
  </si>
  <si>
    <t>James White</t>
  </si>
  <si>
    <t>North Fredville</t>
  </si>
  <si>
    <t>Kelly Burton</t>
  </si>
  <si>
    <t>Robertside</t>
  </si>
  <si>
    <t>Oscar Smith</t>
  </si>
  <si>
    <t>North Andrew</t>
  </si>
  <si>
    <t>Grant Lucas</t>
  </si>
  <si>
    <t>Toddhaven</t>
  </si>
  <si>
    <t>Stephanie Parker</t>
  </si>
  <si>
    <t>Jeremystad</t>
  </si>
  <si>
    <t>Jesus Jackson</t>
  </si>
  <si>
    <t>Lake Amanda</t>
  </si>
  <si>
    <t>Bruce Chaney</t>
  </si>
  <si>
    <t>South Jorge</t>
  </si>
  <si>
    <t>Mary Spence</t>
  </si>
  <si>
    <t>West Shane</t>
  </si>
  <si>
    <t>Alexander Velazquez</t>
  </si>
  <si>
    <t>South Sarah</t>
  </si>
  <si>
    <t>Erin Thornton</t>
  </si>
  <si>
    <t>Kempshire</t>
  </si>
  <si>
    <t>Michael Wilson</t>
  </si>
  <si>
    <t>South Christinabury</t>
  </si>
  <si>
    <t>Lee Lee</t>
  </si>
  <si>
    <t>Port Shari</t>
  </si>
  <si>
    <t>Samuel Rhodes</t>
  </si>
  <si>
    <t>New Prestonfort</t>
  </si>
  <si>
    <t>Amy Estrada</t>
  </si>
  <si>
    <t>Hernandezchester</t>
  </si>
  <si>
    <t>Gregory Parker</t>
  </si>
  <si>
    <t>Sawyerland</t>
  </si>
  <si>
    <t>Jennifer Ramos</t>
  </si>
  <si>
    <t>Port Jessica</t>
  </si>
  <si>
    <t>Kevin Miller</t>
  </si>
  <si>
    <t>West Thomas</t>
  </si>
  <si>
    <t>Leslie Bennett</t>
  </si>
  <si>
    <t>South Danielleview</t>
  </si>
  <si>
    <t>Keith Melendez</t>
  </si>
  <si>
    <t>East Marisa</t>
  </si>
  <si>
    <t>Ronald Davenport</t>
  </si>
  <si>
    <t>Troymouth</t>
  </si>
  <si>
    <t>Eric Davidson</t>
  </si>
  <si>
    <t>Martinezport</t>
  </si>
  <si>
    <t>Maria Johnson</t>
  </si>
  <si>
    <t>Trevorland</t>
  </si>
  <si>
    <t>Sheena Burton</t>
  </si>
  <si>
    <t>Mccannville</t>
  </si>
  <si>
    <t>David Perkins</t>
  </si>
  <si>
    <t>West Steven</t>
  </si>
  <si>
    <t>Isaac Fields</t>
  </si>
  <si>
    <t>Brandonport</t>
  </si>
  <si>
    <t>Pamela White</t>
  </si>
  <si>
    <t>New Karenside</t>
  </si>
  <si>
    <t>Michael Cox</t>
  </si>
  <si>
    <t>Madelinetown</t>
  </si>
  <si>
    <t>John Peterson</t>
  </si>
  <si>
    <t>Kristin Norris</t>
  </si>
  <si>
    <t>South Stevenland</t>
  </si>
  <si>
    <t>Eric Cox</t>
  </si>
  <si>
    <t>Prestonhaven</t>
  </si>
  <si>
    <t>Robert Walker</t>
  </si>
  <si>
    <t>Lake Jeremy</t>
  </si>
  <si>
    <t>Mrs. Pamela Rodriguez</t>
  </si>
  <si>
    <t>Port Toddchester</t>
  </si>
  <si>
    <t>Matthew Watkins</t>
  </si>
  <si>
    <t>Wilsonview</t>
  </si>
  <si>
    <t>Nicole Patton</t>
  </si>
  <si>
    <t>New Rachel</t>
  </si>
  <si>
    <t>Charles Francis</t>
  </si>
  <si>
    <t>Stacystad</t>
  </si>
  <si>
    <t>Lisa Wagner</t>
  </si>
  <si>
    <t>North Loritown</t>
  </si>
  <si>
    <t>Carolyn Webster</t>
  </si>
  <si>
    <t>Lake Coreyborough</t>
  </si>
  <si>
    <t>Kevin Gonzales</t>
  </si>
  <si>
    <t>East Maryfurt</t>
  </si>
  <si>
    <t>Brian Rollins</t>
  </si>
  <si>
    <t>South Danielberg</t>
  </si>
  <si>
    <t>Amanda Murphy</t>
  </si>
  <si>
    <t>South Justinport</t>
  </si>
  <si>
    <t>William Patterson</t>
  </si>
  <si>
    <t>Port Leahstad</t>
  </si>
  <si>
    <t>Jennifer Mills</t>
  </si>
  <si>
    <t>North Douglasfurt</t>
  </si>
  <si>
    <t>William Morgan</t>
  </si>
  <si>
    <t>Martinezchester</t>
  </si>
  <si>
    <t>Nicole Owen</t>
  </si>
  <si>
    <t>Kellyfurt</t>
  </si>
  <si>
    <t>Jesse Martinez</t>
  </si>
  <si>
    <t>Crawfordberg</t>
  </si>
  <si>
    <t>Kathleen Johnson</t>
  </si>
  <si>
    <t>South Cassandra</t>
  </si>
  <si>
    <t>Anne Jones</t>
  </si>
  <si>
    <t>Sparksborough</t>
  </si>
  <si>
    <t>Dennis Cooper PhD</t>
  </si>
  <si>
    <t>Port Anthonychester</t>
  </si>
  <si>
    <t>James Stevens</t>
  </si>
  <si>
    <t>East Angelaport</t>
  </si>
  <si>
    <t>Mike Freeman</t>
  </si>
  <si>
    <t>New Emilyside</t>
  </si>
  <si>
    <t>Katie Myers</t>
  </si>
  <si>
    <t>Garzafurt</t>
  </si>
  <si>
    <t>Kevin Anderson</t>
  </si>
  <si>
    <t>Michaelshire</t>
  </si>
  <si>
    <t>Jeffrey Braun</t>
  </si>
  <si>
    <t>Bellbury</t>
  </si>
  <si>
    <t>Susan Jones</t>
  </si>
  <si>
    <t>Dannyburgh</t>
  </si>
  <si>
    <t>Matthew Henderson</t>
  </si>
  <si>
    <t>Adamsfort</t>
  </si>
  <si>
    <t>Erica Davis</t>
  </si>
  <si>
    <t>Garciaborough</t>
  </si>
  <si>
    <t>Mary Jackson</t>
  </si>
  <si>
    <t>Michaelchester</t>
  </si>
  <si>
    <t>Rachel Pittman</t>
  </si>
  <si>
    <t>West Joseph</t>
  </si>
  <si>
    <t>Lori Rubio</t>
  </si>
  <si>
    <t>New Matthewland</t>
  </si>
  <si>
    <t>Robert Pearson</t>
  </si>
  <si>
    <t>Williamport</t>
  </si>
  <si>
    <t>Jason King</t>
  </si>
  <si>
    <t>Powersside</t>
  </si>
  <si>
    <t>Shari Ray</t>
  </si>
  <si>
    <t>Lake Suzanne</t>
  </si>
  <si>
    <t>Lisa Hammond</t>
  </si>
  <si>
    <t>Michaelton</t>
  </si>
  <si>
    <t>David Francis</t>
  </si>
  <si>
    <t>Meganchester</t>
  </si>
  <si>
    <t>Jason Colon</t>
  </si>
  <si>
    <t>West Gloria</t>
  </si>
  <si>
    <t>Corey Sanchez</t>
  </si>
  <si>
    <t>Stevenside</t>
  </si>
  <si>
    <t>Dominic Johnson</t>
  </si>
  <si>
    <t>Donnaburgh</t>
  </si>
  <si>
    <t>Amy Mosley</t>
  </si>
  <si>
    <t>Carolynland</t>
  </si>
  <si>
    <t>Ryan Cameron</t>
  </si>
  <si>
    <t>North Ashley</t>
  </si>
  <si>
    <t>Lauren Hampton</t>
  </si>
  <si>
    <t>Tylerland</t>
  </si>
  <si>
    <t>Emily Collier</t>
  </si>
  <si>
    <t>Shafferbury</t>
  </si>
  <si>
    <t>Daniel Hill</t>
  </si>
  <si>
    <t>Kingshire</t>
  </si>
  <si>
    <t>Travis Stewart</t>
  </si>
  <si>
    <t>Wellsbury</t>
  </si>
  <si>
    <t>Jacob Parker</t>
  </si>
  <si>
    <t>Port Joditon</t>
  </si>
  <si>
    <t>Mark Haynes</t>
  </si>
  <si>
    <t>New Michellemouth</t>
  </si>
  <si>
    <t>Tabitha Turner</t>
  </si>
  <si>
    <t>West Jason</t>
  </si>
  <si>
    <t>Robert Newman</t>
  </si>
  <si>
    <t>West Michellefort</t>
  </si>
  <si>
    <t>Faith Henderson</t>
  </si>
  <si>
    <t>Port Ethanview</t>
  </si>
  <si>
    <t>Nicholas Kelley</t>
  </si>
  <si>
    <t>Shawntown</t>
  </si>
  <si>
    <t>Rachel Taylor</t>
  </si>
  <si>
    <t>Gonzalezport</t>
  </si>
  <si>
    <t>David Reeves</t>
  </si>
  <si>
    <t>Port Brooke</t>
  </si>
  <si>
    <t>Nicholas Green</t>
  </si>
  <si>
    <t>Laurenborough</t>
  </si>
  <si>
    <t>Shawn Duffy</t>
  </si>
  <si>
    <t>Michael Jackson</t>
  </si>
  <si>
    <t>Keith Smith</t>
  </si>
  <si>
    <t>Ayalamouth</t>
  </si>
  <si>
    <t>Cheryl Atkins</t>
  </si>
  <si>
    <t>Keithfort</t>
  </si>
  <si>
    <t>Lindsay Carney</t>
  </si>
  <si>
    <t>Jessicaborough</t>
  </si>
  <si>
    <t>Alyssa Cherry</t>
  </si>
  <si>
    <t>New Shannon</t>
  </si>
  <si>
    <t>Judith Smith</t>
  </si>
  <si>
    <t>Port Marcus</t>
  </si>
  <si>
    <t>Michelle Fitzgerald</t>
  </si>
  <si>
    <t>Charlesside</t>
  </si>
  <si>
    <t>Kaitlin Gomez</t>
  </si>
  <si>
    <t>North Jonfurt</t>
  </si>
  <si>
    <t>Steven Williams</t>
  </si>
  <si>
    <t>West Geoffrey</t>
  </si>
  <si>
    <t>Evan Moreno</t>
  </si>
  <si>
    <t>West Darryl</t>
  </si>
  <si>
    <t>Sandy Adkins</t>
  </si>
  <si>
    <t>Campbellview</t>
  </si>
  <si>
    <t>Christopher Doyle</t>
  </si>
  <si>
    <t>Gallagherberg</t>
  </si>
  <si>
    <t>Michael Graham</t>
  </si>
  <si>
    <t>Williamsstad</t>
  </si>
  <si>
    <t>Nathan Hernandez</t>
  </si>
  <si>
    <t>Claytonport</t>
  </si>
  <si>
    <t>Kristine Alvarado</t>
  </si>
  <si>
    <t>New Whitney</t>
  </si>
  <si>
    <t>Thomas Sanchez</t>
  </si>
  <si>
    <t>Rhodesmouth</t>
  </si>
  <si>
    <t>Kevin Bean</t>
  </si>
  <si>
    <t>Ericland</t>
  </si>
  <si>
    <t>Tyler Wheeler</t>
  </si>
  <si>
    <t>West Taramouth</t>
  </si>
  <si>
    <t>Scott Solis</t>
  </si>
  <si>
    <t>Marcuston</t>
  </si>
  <si>
    <t>James Thompson</t>
  </si>
  <si>
    <t>Paul Valdez</t>
  </si>
  <si>
    <t>West Travischester</t>
  </si>
  <si>
    <t>Max Collier</t>
  </si>
  <si>
    <t>South Sean</t>
  </si>
  <si>
    <t>Jenny Avila</t>
  </si>
  <si>
    <t>Valerie Rhodes</t>
  </si>
  <si>
    <t>South Alison</t>
  </si>
  <si>
    <t>Bob Solis</t>
  </si>
  <si>
    <t>Edgarberg</t>
  </si>
  <si>
    <t>Keith Arnold</t>
  </si>
  <si>
    <t>New Danielchester</t>
  </si>
  <si>
    <t>Laura King</t>
  </si>
  <si>
    <t>Brendahaven</t>
  </si>
  <si>
    <t>Clarence Long</t>
  </si>
  <si>
    <t>South Nancyport</t>
  </si>
  <si>
    <t>Joanna Morton</t>
  </si>
  <si>
    <t>Tammyburgh</t>
  </si>
  <si>
    <t>Lindsey Savage</t>
  </si>
  <si>
    <t>South Amandatown</t>
  </si>
  <si>
    <t>John Holt</t>
  </si>
  <si>
    <t>Turnerstad</t>
  </si>
  <si>
    <t>Adrian Rodriguez</t>
  </si>
  <si>
    <t>Lake Taratown</t>
  </si>
  <si>
    <t>Jessica Garrett</t>
  </si>
  <si>
    <t>North Kevin</t>
  </si>
  <si>
    <t>Bruce Barrera</t>
  </si>
  <si>
    <t>Maynardfort</t>
  </si>
  <si>
    <t>Edward Gallegos</t>
  </si>
  <si>
    <t>Williamstown</t>
  </si>
  <si>
    <t>Sarah Mclaughlin</t>
  </si>
  <si>
    <t>Benjaminfurt</t>
  </si>
  <si>
    <t>Taylor Stein</t>
  </si>
  <si>
    <t>Hallton</t>
  </si>
  <si>
    <t>Kristen Adams</t>
  </si>
  <si>
    <t>Smallville</t>
  </si>
  <si>
    <t>Jeffrey Martin</t>
  </si>
  <si>
    <t>South Maurice</t>
  </si>
  <si>
    <t>Melinda Dorsey</t>
  </si>
  <si>
    <t>Andersonport</t>
  </si>
  <si>
    <t>Rebecca Richard</t>
  </si>
  <si>
    <t>West Hannah</t>
  </si>
  <si>
    <t>Curtis Obrien</t>
  </si>
  <si>
    <t>Port Robertfort</t>
  </si>
  <si>
    <t>Yvonne Howard</t>
  </si>
  <si>
    <t>Gail Wilson</t>
  </si>
  <si>
    <t>North Anna</t>
  </si>
  <si>
    <t>Patricia Carrillo</t>
  </si>
  <si>
    <t>Paulahaven</t>
  </si>
  <si>
    <t>Jessica Bryant</t>
  </si>
  <si>
    <t>North Kimberlyville</t>
  </si>
  <si>
    <t>Bruce Harris</t>
  </si>
  <si>
    <t>Ericport</t>
  </si>
  <si>
    <t>Annette Holland</t>
  </si>
  <si>
    <t>Loriville</t>
  </si>
  <si>
    <t>Adriana Davenport</t>
  </si>
  <si>
    <t>Petersonhaven</t>
  </si>
  <si>
    <t>Paul Ward</t>
  </si>
  <si>
    <t>East Karen</t>
  </si>
  <si>
    <t>Jeffrey Hardin</t>
  </si>
  <si>
    <t>Cranehaven</t>
  </si>
  <si>
    <t>Adam Drake</t>
  </si>
  <si>
    <t>North Matthewfurt</t>
  </si>
  <si>
    <t>Andrew Nielsen</t>
  </si>
  <si>
    <t>New Brian</t>
  </si>
  <si>
    <t>Michael Spencer</t>
  </si>
  <si>
    <t>Jennifermouth</t>
  </si>
  <si>
    <t>Lisa Thomas</t>
  </si>
  <si>
    <t>Griffinborough</t>
  </si>
  <si>
    <t>Rachael Sullivan</t>
  </si>
  <si>
    <t>West Christopher</t>
  </si>
  <si>
    <t>Natalie Martinez</t>
  </si>
  <si>
    <t>Caitlin Johnson</t>
  </si>
  <si>
    <t>Johnport</t>
  </si>
  <si>
    <t>Sarah Green</t>
  </si>
  <si>
    <t>Davidville</t>
  </si>
  <si>
    <t>Jody Bird</t>
  </si>
  <si>
    <t>West Kevin</t>
  </si>
  <si>
    <t>Samantha Ward</t>
  </si>
  <si>
    <t>East Jenniferchester</t>
  </si>
  <si>
    <t>Carlos Lewis</t>
  </si>
  <si>
    <t>West Ericafurt</t>
  </si>
  <si>
    <t>Mallory Barajas</t>
  </si>
  <si>
    <t>Dennischester</t>
  </si>
  <si>
    <t>Michael Anderson</t>
  </si>
  <si>
    <t>Lake Jasonfort</t>
  </si>
  <si>
    <t>Jaclyn Crane</t>
  </si>
  <si>
    <t>Rodriguezstad</t>
  </si>
  <si>
    <t>Jacob Ritter</t>
  </si>
  <si>
    <t>Kellytown</t>
  </si>
  <si>
    <t>Timothy Torres</t>
  </si>
  <si>
    <t>Jasonfort</t>
  </si>
  <si>
    <t>Seth Butler</t>
  </si>
  <si>
    <t>Arielmouth</t>
  </si>
  <si>
    <t>Charles Fields</t>
  </si>
  <si>
    <t>Contrerasberg</t>
  </si>
  <si>
    <t>Jennifer Hall</t>
  </si>
  <si>
    <t>Morganton</t>
  </si>
  <si>
    <t>Sharon Mann</t>
  </si>
  <si>
    <t>Annville</t>
  </si>
  <si>
    <t>Nina Bernard</t>
  </si>
  <si>
    <t>Port Thomas</t>
  </si>
  <si>
    <t>Albert Buchanan</t>
  </si>
  <si>
    <t>Port Janice</t>
  </si>
  <si>
    <t>Jennifer Williams</t>
  </si>
  <si>
    <t>West Samuelchester</t>
  </si>
  <si>
    <t>Brandon Petty</t>
  </si>
  <si>
    <t>West Douglas</t>
  </si>
  <si>
    <t>Jason Jackson</t>
  </si>
  <si>
    <t>Howardton</t>
  </si>
  <si>
    <t>Jason Nguyen</t>
  </si>
  <si>
    <t>Laurie Vasquez</t>
  </si>
  <si>
    <t>Averyview</t>
  </si>
  <si>
    <t>Ana Johnson</t>
  </si>
  <si>
    <t>Beth Carroll</t>
  </si>
  <si>
    <t>Millerhaven</t>
  </si>
  <si>
    <t>Carol Sanchez</t>
  </si>
  <si>
    <t>Aliside</t>
  </si>
  <si>
    <t>Tonya Oliver</t>
  </si>
  <si>
    <t>North Brian</t>
  </si>
  <si>
    <t>Michael Kidd</t>
  </si>
  <si>
    <t>New Mary</t>
  </si>
  <si>
    <t>Kristine Turner</t>
  </si>
  <si>
    <t>Haleberg</t>
  </si>
  <si>
    <t>Tina Flores</t>
  </si>
  <si>
    <t>Cynthiamouth</t>
  </si>
  <si>
    <t>Joe Greene</t>
  </si>
  <si>
    <t>Lake Dennistown</t>
  </si>
  <si>
    <t>Jennifer Woodard</t>
  </si>
  <si>
    <t>Farmerside</t>
  </si>
  <si>
    <t>Stephanie Cabrera</t>
  </si>
  <si>
    <t>Chambersstad</t>
  </si>
  <si>
    <t>Ryan Cain</t>
  </si>
  <si>
    <t>North Stevenborough</t>
  </si>
  <si>
    <t>Olivia Becker</t>
  </si>
  <si>
    <t>Jamesport</t>
  </si>
  <si>
    <t>Amanda Vasquez</t>
  </si>
  <si>
    <t>North James</t>
  </si>
  <si>
    <t>Kathleen Arnold</t>
  </si>
  <si>
    <t>North Brianna</t>
  </si>
  <si>
    <t>Savannah Ibarra</t>
  </si>
  <si>
    <t>Jamestown</t>
  </si>
  <si>
    <t>Sonya Smith</t>
  </si>
  <si>
    <t>Davidsonton</t>
  </si>
  <si>
    <t>Michael Owens</t>
  </si>
  <si>
    <t>Zacharyton</t>
  </si>
  <si>
    <t>Kim Stewart</t>
  </si>
  <si>
    <t>Leeland</t>
  </si>
  <si>
    <t>Jessica Jones</t>
  </si>
  <si>
    <t>East Frank</t>
  </si>
  <si>
    <t>Alyssa Reynolds</t>
  </si>
  <si>
    <t>New Lauramouth</t>
  </si>
  <si>
    <t>Tyler Wall</t>
  </si>
  <si>
    <t>Aprilbury</t>
  </si>
  <si>
    <t>Brendan Griffin</t>
  </si>
  <si>
    <t>North Territon</t>
  </si>
  <si>
    <t>Amy Lang</t>
  </si>
  <si>
    <t>West Cherylchester</t>
  </si>
  <si>
    <t>Elizabeth James</t>
  </si>
  <si>
    <t>New Karenbury</t>
  </si>
  <si>
    <t>Jeffrey Oliver</t>
  </si>
  <si>
    <t>West Debratown</t>
  </si>
  <si>
    <t>Ashley Smith</t>
  </si>
  <si>
    <t>New Kristineborough</t>
  </si>
  <si>
    <t>Jason Hardy</t>
  </si>
  <si>
    <t>Lopezberg</t>
  </si>
  <si>
    <t>Jeffrey Moyer</t>
  </si>
  <si>
    <t>Larryside</t>
  </si>
  <si>
    <t>Grant Wood</t>
  </si>
  <si>
    <t>New Brendaberg</t>
  </si>
  <si>
    <t>Kristin Brown</t>
  </si>
  <si>
    <t>Jamesborough</t>
  </si>
  <si>
    <t>Michael Christian</t>
  </si>
  <si>
    <t>Richard Williams</t>
  </si>
  <si>
    <t>North Danielle</t>
  </si>
  <si>
    <t>John Tate</t>
  </si>
  <si>
    <t>Lindsayfurt</t>
  </si>
  <si>
    <t>Adriana Smith</t>
  </si>
  <si>
    <t>Anthonyville</t>
  </si>
  <si>
    <t>Kevin Cannon</t>
  </si>
  <si>
    <t>North Jamesport</t>
  </si>
  <si>
    <t>Gina Spencer</t>
  </si>
  <si>
    <t>East Andrew</t>
  </si>
  <si>
    <t>Breanna Pena</t>
  </si>
  <si>
    <t>West Sharonport</t>
  </si>
  <si>
    <t>Mary Pugh</t>
  </si>
  <si>
    <t>Johnsland</t>
  </si>
  <si>
    <t>Cheryl Gray</t>
  </si>
  <si>
    <t>Louischester</t>
  </si>
  <si>
    <t>Sarah Phillips</t>
  </si>
  <si>
    <t>West John</t>
  </si>
  <si>
    <t>Stacey Clark</t>
  </si>
  <si>
    <t>Port Thomasland</t>
  </si>
  <si>
    <t>Maria Hicks</t>
  </si>
  <si>
    <t>Stoneburgh</t>
  </si>
  <si>
    <t>Karen Sosa</t>
  </si>
  <si>
    <t>Adamsfurt</t>
  </si>
  <si>
    <t>Jodi Young</t>
  </si>
  <si>
    <t>West Ronald</t>
  </si>
  <si>
    <t>Jacqueline Pierce</t>
  </si>
  <si>
    <t>Andrew Hunt</t>
  </si>
  <si>
    <t>Ronaldmouth</t>
  </si>
  <si>
    <t>Emily Reyes</t>
  </si>
  <si>
    <t>South Jesus</t>
  </si>
  <si>
    <t>Jonathan Payne</t>
  </si>
  <si>
    <t>Port Joshuabury</t>
  </si>
  <si>
    <t>Joshua Cook</t>
  </si>
  <si>
    <t>Johnview</t>
  </si>
  <si>
    <t>Dr. Nicole Singh DVM</t>
  </si>
  <si>
    <t>Port Kevinstad</t>
  </si>
  <si>
    <t>Alexandra Valdez</t>
  </si>
  <si>
    <t>Port Raymond</t>
  </si>
  <si>
    <t>Jose Hartman</t>
  </si>
  <si>
    <t>Sharpmouth</t>
  </si>
  <si>
    <t>Jessica Mcmahon</t>
  </si>
  <si>
    <t>Clarkmouth</t>
  </si>
  <si>
    <t>Bethany Harding</t>
  </si>
  <si>
    <t>South Lisastad</t>
  </si>
  <si>
    <t>Paul Farmer</t>
  </si>
  <si>
    <t>Marktown</t>
  </si>
  <si>
    <t>Wendy Carroll</t>
  </si>
  <si>
    <t>Bairdborough</t>
  </si>
  <si>
    <t>John Murphy</t>
  </si>
  <si>
    <t>Fowlerport</t>
  </si>
  <si>
    <t>Cassandra Serrano</t>
  </si>
  <si>
    <t>Johnsonborough</t>
  </si>
  <si>
    <t>Eddie Warren</t>
  </si>
  <si>
    <t>Brownhaven</t>
  </si>
  <si>
    <t>Jennifer Moore</t>
  </si>
  <si>
    <t>East Amandafort</t>
  </si>
  <si>
    <t>Daniel Reynolds</t>
  </si>
  <si>
    <t>Mooreshire</t>
  </si>
  <si>
    <t>Melinda Hill</t>
  </si>
  <si>
    <t>East Seanfurt</t>
  </si>
  <si>
    <t>Sherry Stevens</t>
  </si>
  <si>
    <t>Lake Christophermouth</t>
  </si>
  <si>
    <t>Rodney Horn</t>
  </si>
  <si>
    <t>Wrightchester</t>
  </si>
  <si>
    <t>Anna Hale</t>
  </si>
  <si>
    <t>East Nicoleburgh</t>
  </si>
  <si>
    <t>Thomas Wolfe</t>
  </si>
  <si>
    <t>South Robert</t>
  </si>
  <si>
    <t>Kathy Chan</t>
  </si>
  <si>
    <t>Hayesview</t>
  </si>
  <si>
    <t>Benjamin Neal</t>
  </si>
  <si>
    <t>Jamesfurt</t>
  </si>
  <si>
    <t>Brian Stark</t>
  </si>
  <si>
    <t>Ellenmouth</t>
  </si>
  <si>
    <t>Matthew Reeves</t>
  </si>
  <si>
    <t>Taylorview</t>
  </si>
  <si>
    <t>Cassandra Martinez</t>
  </si>
  <si>
    <t>Jacksontown</t>
  </si>
  <si>
    <t>Daniel Johnson</t>
  </si>
  <si>
    <t>South Heather</t>
  </si>
  <si>
    <t>Eric Williams</t>
  </si>
  <si>
    <t>North Kelseyborough</t>
  </si>
  <si>
    <t>Alan Johnson</t>
  </si>
  <si>
    <t>West Loriland</t>
  </si>
  <si>
    <t>Amanda Hunt</t>
  </si>
  <si>
    <t>Marcusborough</t>
  </si>
  <si>
    <t>Barbara Lewis</t>
  </si>
  <si>
    <t>Marcustown</t>
  </si>
  <si>
    <t>Daniel Robinson</t>
  </si>
  <si>
    <t>Debrastad</t>
  </si>
  <si>
    <t>Randall Porter</t>
  </si>
  <si>
    <t>Lake Amandashire</t>
  </si>
  <si>
    <t>Vicki Horton</t>
  </si>
  <si>
    <t>West Gregory</t>
  </si>
  <si>
    <t>Alan Barr</t>
  </si>
  <si>
    <t>Reyesbury</t>
  </si>
  <si>
    <t>Luis Mosley</t>
  </si>
  <si>
    <t>Joelchester</t>
  </si>
  <si>
    <t>James Phillips</t>
  </si>
  <si>
    <t>South James</t>
  </si>
  <si>
    <t>Jill Wiley MD</t>
  </si>
  <si>
    <t>Dawnton</t>
  </si>
  <si>
    <t>Crystal Quinn</t>
  </si>
  <si>
    <t>Johnside</t>
  </si>
  <si>
    <t>Melissa Walker</t>
  </si>
  <si>
    <t>Boydburgh</t>
  </si>
  <si>
    <t>John Mckay</t>
  </si>
  <si>
    <t>Lake Victoriaborough</t>
  </si>
  <si>
    <t>Sandra Frederick</t>
  </si>
  <si>
    <t>New Christian</t>
  </si>
  <si>
    <t>Danielle Thompson</t>
  </si>
  <si>
    <t>Richard Miller</t>
  </si>
  <si>
    <t>Raymondburgh</t>
  </si>
  <si>
    <t>Nancy Wolf</t>
  </si>
  <si>
    <t>Smithfurt</t>
  </si>
  <si>
    <t>Brittany Barber</t>
  </si>
  <si>
    <t>Oscarport</t>
  </si>
  <si>
    <t>Karen Cook</t>
  </si>
  <si>
    <t>Gonzalezborough</t>
  </si>
  <si>
    <t>Jacqueline Sullivan</t>
  </si>
  <si>
    <t>Bentleystad</t>
  </si>
  <si>
    <t>Leah Ortiz</t>
  </si>
  <si>
    <t>North Paulshire</t>
  </si>
  <si>
    <t>Patricia Walton</t>
  </si>
  <si>
    <t>Williamfort</t>
  </si>
  <si>
    <t>Tammy Fitzgerald</t>
  </si>
  <si>
    <t>South Austin</t>
  </si>
  <si>
    <t>Maria Green</t>
  </si>
  <si>
    <t>Blackburnberg</t>
  </si>
  <si>
    <t>Mary Martin</t>
  </si>
  <si>
    <t>Port Christopherfurt</t>
  </si>
  <si>
    <t>Angela Kent</t>
  </si>
  <si>
    <t>Martinchester</t>
  </si>
  <si>
    <t>Kim Tanner</t>
  </si>
  <si>
    <t>Haley Thomas</t>
  </si>
  <si>
    <t>Lake Raymond</t>
  </si>
  <si>
    <t>April Jones</t>
  </si>
  <si>
    <t>Warrenport</t>
  </si>
  <si>
    <t>Michael Gonzalez</t>
  </si>
  <si>
    <t>New Stacy</t>
  </si>
  <si>
    <t>Anthony White</t>
  </si>
  <si>
    <t>West Tonya</t>
  </si>
  <si>
    <t>Ashley Fields</t>
  </si>
  <si>
    <t>West Christopherville</t>
  </si>
  <si>
    <t>David Washington</t>
  </si>
  <si>
    <t>North Brucetown</t>
  </si>
  <si>
    <t>Adrienne Morrison</t>
  </si>
  <si>
    <t>Sarahfort</t>
  </si>
  <si>
    <t>Michael Cooper</t>
  </si>
  <si>
    <t>Lisastad</t>
  </si>
  <si>
    <t>Henry Rivera</t>
  </si>
  <si>
    <t>North Stephenfurt</t>
  </si>
  <si>
    <t>Joseph Tapia</t>
  </si>
  <si>
    <t>West Shannon</t>
  </si>
  <si>
    <t>April Little</t>
  </si>
  <si>
    <t>Allenstad</t>
  </si>
  <si>
    <t>Cynthia Washington</t>
  </si>
  <si>
    <t>West Ronniefort</t>
  </si>
  <si>
    <t>Cory Thomas</t>
  </si>
  <si>
    <t>East Tylerland</t>
  </si>
  <si>
    <t>Mrs. Stephanie Friedman</t>
  </si>
  <si>
    <t>Batesbury</t>
  </si>
  <si>
    <t>Mary Davis</t>
  </si>
  <si>
    <t>Holdertown</t>
  </si>
  <si>
    <t>Connie Scott</t>
  </si>
  <si>
    <t>Lynnville</t>
  </si>
  <si>
    <t>Ann Holt</t>
  </si>
  <si>
    <t>New Katie</t>
  </si>
  <si>
    <t>Mitchell Fitzgerald</t>
  </si>
  <si>
    <t>Valdezside</t>
  </si>
  <si>
    <t>Earl Rodriguez</t>
  </si>
  <si>
    <t>Joyborough</t>
  </si>
  <si>
    <t>Erik James</t>
  </si>
  <si>
    <t>West Bryanside</t>
  </si>
  <si>
    <t>Jacob Shelton</t>
  </si>
  <si>
    <t>New Elizabeth</t>
  </si>
  <si>
    <t>Samuel Stewart</t>
  </si>
  <si>
    <t>Paul Sweeney</t>
  </si>
  <si>
    <t>New Lukehaven</t>
  </si>
  <si>
    <t>Ronald Simpson</t>
  </si>
  <si>
    <t>Brownmouth</t>
  </si>
  <si>
    <t>Taylor Walker</t>
  </si>
  <si>
    <t>Port Kimberlyfort</t>
  </si>
  <si>
    <t>Kimberly Rogers DDS</t>
  </si>
  <si>
    <t>Katherinefurt</t>
  </si>
  <si>
    <t>Thomas Haynes</t>
  </si>
  <si>
    <t>Davismouth</t>
  </si>
  <si>
    <t>Christopher Taylor</t>
  </si>
  <si>
    <t>Carterberg</t>
  </si>
  <si>
    <t>Alexa Barber</t>
  </si>
  <si>
    <t>Lake Kristenberg</t>
  </si>
  <si>
    <t>Anne Mccann</t>
  </si>
  <si>
    <t>Tracy Sims</t>
  </si>
  <si>
    <t>Sanchezville</t>
  </si>
  <si>
    <t>Kyle Thompson</t>
  </si>
  <si>
    <t>Parsonsland</t>
  </si>
  <si>
    <t>Matthew Richardson</t>
  </si>
  <si>
    <t>North Christopherfort</t>
  </si>
  <si>
    <t>Victoria Mendoza</t>
  </si>
  <si>
    <t>Port Brittanyfurt</t>
  </si>
  <si>
    <t>Calvin Nguyen</t>
  </si>
  <si>
    <t>South Lisa</t>
  </si>
  <si>
    <t>Rachel Moreno</t>
  </si>
  <si>
    <t>New Maryside</t>
  </si>
  <si>
    <t>Kyle White</t>
  </si>
  <si>
    <t>Mcbrideville</t>
  </si>
  <si>
    <t>Christopher Hart</t>
  </si>
  <si>
    <t>North Tinahaven</t>
  </si>
  <si>
    <t>William Barrett</t>
  </si>
  <si>
    <t>West Brandon</t>
  </si>
  <si>
    <t>Kenneth Neal</t>
  </si>
  <si>
    <t>Catherinehaven</t>
  </si>
  <si>
    <t>Amanda Johnson</t>
  </si>
  <si>
    <t>Leslie Ramirez</t>
  </si>
  <si>
    <t>Jonesview</t>
  </si>
  <si>
    <t>Bradley King</t>
  </si>
  <si>
    <t>Bentleyberg</t>
  </si>
  <si>
    <t>Debra Schultz</t>
  </si>
  <si>
    <t>Lake Nathan</t>
  </si>
  <si>
    <t>Christian Riddle</t>
  </si>
  <si>
    <t>Graybury</t>
  </si>
  <si>
    <t>Melinda Russell</t>
  </si>
  <si>
    <t>Daniellestad</t>
  </si>
  <si>
    <t>Courtney Smith</t>
  </si>
  <si>
    <t>Nicholas Parker</t>
  </si>
  <si>
    <t>Davisstad</t>
  </si>
  <si>
    <t>Stephanie Jackson</t>
  </si>
  <si>
    <t>Whiteside</t>
  </si>
  <si>
    <t>Adam Palmer</t>
  </si>
  <si>
    <t>Lake David</t>
  </si>
  <si>
    <t>Nicholas Villegas</t>
  </si>
  <si>
    <t>Lake Charlotte</t>
  </si>
  <si>
    <t>Dr. Kathryn Hill</t>
  </si>
  <si>
    <t>Meyerbury</t>
  </si>
  <si>
    <t>Jennifer Edwards</t>
  </si>
  <si>
    <t>Lake Christopherbury</t>
  </si>
  <si>
    <t>Patrick Spencer</t>
  </si>
  <si>
    <t>Stokestown</t>
  </si>
  <si>
    <t>Breanna Jimenez</t>
  </si>
  <si>
    <t>South Alexanderborough</t>
  </si>
  <si>
    <t>Nicole Sanchez</t>
  </si>
  <si>
    <t>New Shaneburgh</t>
  </si>
  <si>
    <t>Ryan Palmer</t>
  </si>
  <si>
    <t>South Tylerburgh</t>
  </si>
  <si>
    <t>Danielle Ryan</t>
  </si>
  <si>
    <t>West Kevinport</t>
  </si>
  <si>
    <t>Laura Robinson</t>
  </si>
  <si>
    <t>Sarahhaven</t>
  </si>
  <si>
    <t>Amy Smith</t>
  </si>
  <si>
    <t>Murphystad</t>
  </si>
  <si>
    <t>Charlotte Gomez</t>
  </si>
  <si>
    <t>South Travisland</t>
  </si>
  <si>
    <t>Thomas Smith</t>
  </si>
  <si>
    <t>Jeremyfurt</t>
  </si>
  <si>
    <t>Clarence Cain</t>
  </si>
  <si>
    <t>South Dianamouth</t>
  </si>
  <si>
    <t>Abigail Stephenson</t>
  </si>
  <si>
    <t>North Jake</t>
  </si>
  <si>
    <t>Gary Johnson</t>
  </si>
  <si>
    <t>South Susan</t>
  </si>
  <si>
    <t>Jon Maldonado Jr.</t>
  </si>
  <si>
    <t>Shawfurt</t>
  </si>
  <si>
    <t>Beth Cooper</t>
  </si>
  <si>
    <t>Port Gabrielleton</t>
  </si>
  <si>
    <t>Jessica Roberts</t>
  </si>
  <si>
    <t>Chelsea Campbell</t>
  </si>
  <si>
    <t>Port Josephbury</t>
  </si>
  <si>
    <t>Rhonda Haynes</t>
  </si>
  <si>
    <t>Andrew Mooney</t>
  </si>
  <si>
    <t>South Andres</t>
  </si>
  <si>
    <t>Joseph Graves</t>
  </si>
  <si>
    <t>East Matthew</t>
  </si>
  <si>
    <t>Anthony Rodriguez</t>
  </si>
  <si>
    <t>Juanstad</t>
  </si>
  <si>
    <t>Catherine Smith</t>
  </si>
  <si>
    <t>David Henry</t>
  </si>
  <si>
    <t>Kevinville</t>
  </si>
  <si>
    <t>Bianca Ward</t>
  </si>
  <si>
    <t>Juliashire</t>
  </si>
  <si>
    <t>Donald Silva</t>
  </si>
  <si>
    <t>North Davidville</t>
  </si>
  <si>
    <t>Jeremy Garcia</t>
  </si>
  <si>
    <t>Kevinfort</t>
  </si>
  <si>
    <t>Corey Pierce</t>
  </si>
  <si>
    <t>Patriciaside</t>
  </si>
  <si>
    <t>Autumn Graham</t>
  </si>
  <si>
    <t>Barneshaven</t>
  </si>
  <si>
    <t>Walter Roberts</t>
  </si>
  <si>
    <t>Port Teresaborough</t>
  </si>
  <si>
    <t>Valerie Martin</t>
  </si>
  <si>
    <t>Hartfurt</t>
  </si>
  <si>
    <t>Aaron Armstrong</t>
  </si>
  <si>
    <t>Port Williamhaven</t>
  </si>
  <si>
    <t>Elizabeth Adams</t>
  </si>
  <si>
    <t>East Jeffreyside</t>
  </si>
  <si>
    <t>Teresa Ramirez</t>
  </si>
  <si>
    <t>West Morgan</t>
  </si>
  <si>
    <t>Christine Wilson DDS</t>
  </si>
  <si>
    <t>Logan Nguyen</t>
  </si>
  <si>
    <t>Lake Lisastad</t>
  </si>
  <si>
    <t>Wesley Medina</t>
  </si>
  <si>
    <t>Lake Juliefurt</t>
  </si>
  <si>
    <t>Christine Ramos</t>
  </si>
  <si>
    <t>Josephshire</t>
  </si>
  <si>
    <t>Nicholas Richardson</t>
  </si>
  <si>
    <t>Davisburgh</t>
  </si>
  <si>
    <t>John Blair</t>
  </si>
  <si>
    <t>Andrewburgh</t>
  </si>
  <si>
    <t>Charles Simmons</t>
  </si>
  <si>
    <t>Stoutfurt</t>
  </si>
  <si>
    <t>Paul Smith</t>
  </si>
  <si>
    <t>South Patrickville</t>
  </si>
  <si>
    <t>Randy Adams</t>
  </si>
  <si>
    <t>Port Tammyville</t>
  </si>
  <si>
    <t>John Hart</t>
  </si>
  <si>
    <t>Ochoaport</t>
  </si>
  <si>
    <t>Joshua Adams</t>
  </si>
  <si>
    <t>North Malloryville</t>
  </si>
  <si>
    <t>Jennifer Smith</t>
  </si>
  <si>
    <t>North Jeremy</t>
  </si>
  <si>
    <t>Courtney Koch</t>
  </si>
  <si>
    <t>Mcdanielville</t>
  </si>
  <si>
    <t>Tyler Campbell</t>
  </si>
  <si>
    <t>New Matthewstad</t>
  </si>
  <si>
    <t>Jeffrey Rogers</t>
  </si>
  <si>
    <t>Lake Ronald</t>
  </si>
  <si>
    <t>Brian Hendricks</t>
  </si>
  <si>
    <t>Sarahland</t>
  </si>
  <si>
    <t>James Griffith</t>
  </si>
  <si>
    <t>Briggsville</t>
  </si>
  <si>
    <t>Frank Anderson</t>
  </si>
  <si>
    <t>Gomezfort</t>
  </si>
  <si>
    <t>Mallory Taylor</t>
  </si>
  <si>
    <t>Joshua Hall Jr.</t>
  </si>
  <si>
    <t>Xavier Smith</t>
  </si>
  <si>
    <t>Rosarioville</t>
  </si>
  <si>
    <t>Sharon Fuentes</t>
  </si>
  <si>
    <t>Amy Taylor</t>
  </si>
  <si>
    <t>South Jessica</t>
  </si>
  <si>
    <t>Mary Jones</t>
  </si>
  <si>
    <t>North Dylan</t>
  </si>
  <si>
    <t>Keith Cervantes</t>
  </si>
  <si>
    <t>Port Ian</t>
  </si>
  <si>
    <t>Nathan Wallace</t>
  </si>
  <si>
    <t>West Danielton</t>
  </si>
  <si>
    <t>Alexandra Wall</t>
  </si>
  <si>
    <t>Spencerview</t>
  </si>
  <si>
    <t>Christopher Dudley</t>
  </si>
  <si>
    <t>Spenceberg</t>
  </si>
  <si>
    <t>James Carson</t>
  </si>
  <si>
    <t>Port Heatherfort</t>
  </si>
  <si>
    <t>Carmen Pratt</t>
  </si>
  <si>
    <t>Leeville</t>
  </si>
  <si>
    <t>Sarah Johnson</t>
  </si>
  <si>
    <t>Franciscoville</t>
  </si>
  <si>
    <t>Theodore Lopez</t>
  </si>
  <si>
    <t>Lake Sarah</t>
  </si>
  <si>
    <t>Krystal Elliott</t>
  </si>
  <si>
    <t>Williamsmouth</t>
  </si>
  <si>
    <t>Dr. Tina Porter</t>
  </si>
  <si>
    <t>Karenstad</t>
  </si>
  <si>
    <t>Steven Gordon</t>
  </si>
  <si>
    <t>North Brenda</t>
  </si>
  <si>
    <t>Amanda Martin</t>
  </si>
  <si>
    <t>Millerland</t>
  </si>
  <si>
    <t>Candace Stuart</t>
  </si>
  <si>
    <t>Sethberg</t>
  </si>
  <si>
    <t>Teresa Williams</t>
  </si>
  <si>
    <t>Allenland</t>
  </si>
  <si>
    <t>Anne Smith PhD</t>
  </si>
  <si>
    <t>Amyland</t>
  </si>
  <si>
    <t>Timothy Martin</t>
  </si>
  <si>
    <t>Barbarastad</t>
  </si>
  <si>
    <t>Julia Andersen</t>
  </si>
  <si>
    <t>Kathrynmouth</t>
  </si>
  <si>
    <t>Jack Mitchell MD</t>
  </si>
  <si>
    <t>Katie Baker</t>
  </si>
  <si>
    <t>New Tiffanyton</t>
  </si>
  <si>
    <t>Samuel Roberts</t>
  </si>
  <si>
    <t>New Reginald</t>
  </si>
  <si>
    <t>Maureen Bailey</t>
  </si>
  <si>
    <t>Daymouth</t>
  </si>
  <si>
    <t>Sylvia Nielsen</t>
  </si>
  <si>
    <t>Gonzalezmouth</t>
  </si>
  <si>
    <t>Katelyn Park DDS</t>
  </si>
  <si>
    <t>Shawnside</t>
  </si>
  <si>
    <t>Erica Johnson</t>
  </si>
  <si>
    <t>Brownstad</t>
  </si>
  <si>
    <t>Sean Cisneros</t>
  </si>
  <si>
    <t>Nelsonburgh</t>
  </si>
  <si>
    <t>Brad Russo</t>
  </si>
  <si>
    <t>Savagehaven</t>
  </si>
  <si>
    <t>Anthony Jacobson</t>
  </si>
  <si>
    <t>Petersonport</t>
  </si>
  <si>
    <t>Karen Nichols</t>
  </si>
  <si>
    <t>Linda Miller</t>
  </si>
  <si>
    <t>West Elizabeth</t>
  </si>
  <si>
    <t>Taylor Porter</t>
  </si>
  <si>
    <t>Danielchester</t>
  </si>
  <si>
    <t>Terri Mathews DDS</t>
  </si>
  <si>
    <t>North Jefferyborough</t>
  </si>
  <si>
    <t>Lindsay Robinson</t>
  </si>
  <si>
    <t>East Teresa</t>
  </si>
  <si>
    <t>Steven Shaw</t>
  </si>
  <si>
    <t>Lake Victormouth</t>
  </si>
  <si>
    <t>Joshua Mills</t>
  </si>
  <si>
    <t>Danielburgh</t>
  </si>
  <si>
    <t>Kurt Daniels</t>
  </si>
  <si>
    <t>Mitchellchester</t>
  </si>
  <si>
    <t>Susan Garcia</t>
  </si>
  <si>
    <t>Port Maryland</t>
  </si>
  <si>
    <t>Paul Hanson</t>
  </si>
  <si>
    <t>Lake Seanshire</t>
  </si>
  <si>
    <t>Christy Frank</t>
  </si>
  <si>
    <t>Wilsonfort</t>
  </si>
  <si>
    <t>Robert Padilla</t>
  </si>
  <si>
    <t>Smithstad</t>
  </si>
  <si>
    <t>Matthew Parker</t>
  </si>
  <si>
    <t>Nuneztown</t>
  </si>
  <si>
    <t>Richard Randall</t>
  </si>
  <si>
    <t>Matthewshire</t>
  </si>
  <si>
    <t>Cheryl Newman</t>
  </si>
  <si>
    <t>Port Sarahchester</t>
  </si>
  <si>
    <t>Carrie Strong</t>
  </si>
  <si>
    <t>South Jerry</t>
  </si>
  <si>
    <t>Rachel Cameron</t>
  </si>
  <si>
    <t>Maryburgh</t>
  </si>
  <si>
    <t>Jeffrey Fuller</t>
  </si>
  <si>
    <t>North Christine</t>
  </si>
  <si>
    <t>Nicholas Lucero</t>
  </si>
  <si>
    <t>Jacobbury</t>
  </si>
  <si>
    <t>Molly Roman</t>
  </si>
  <si>
    <t>Townsendton</t>
  </si>
  <si>
    <t>Margaret Riley</t>
  </si>
  <si>
    <t>North Stephenville</t>
  </si>
  <si>
    <t>Christopher Jones</t>
  </si>
  <si>
    <t>Robertaborough</t>
  </si>
  <si>
    <t>Jennifer Tucker</t>
  </si>
  <si>
    <t>East Gracefurt</t>
  </si>
  <si>
    <t>Keith Obrien</t>
  </si>
  <si>
    <t>North Theresastad</t>
  </si>
  <si>
    <t>Brooke Harmon</t>
  </si>
  <si>
    <t>East Catherineside</t>
  </si>
  <si>
    <t>Cindy Diaz</t>
  </si>
  <si>
    <t>North Mark</t>
  </si>
  <si>
    <t>John Ashley</t>
  </si>
  <si>
    <t>Jeanport</t>
  </si>
  <si>
    <t>Travis Nielsen</t>
  </si>
  <si>
    <t>Geraldview</t>
  </si>
  <si>
    <t>Laurie Martin</t>
  </si>
  <si>
    <t>Lake Tony</t>
  </si>
  <si>
    <t>Rose Dean</t>
  </si>
  <si>
    <t>Pattersonshire</t>
  </si>
  <si>
    <t>Joanna Preston</t>
  </si>
  <si>
    <t>Brendaport</t>
  </si>
  <si>
    <t>Christopher Morris</t>
  </si>
  <si>
    <t>Richard Martinez</t>
  </si>
  <si>
    <t>Haleymouth</t>
  </si>
  <si>
    <t>Stephanie Hoffman</t>
  </si>
  <si>
    <t>Campbellborough</t>
  </si>
  <si>
    <t>Michelle Shah</t>
  </si>
  <si>
    <t>New Patriciachester</t>
  </si>
  <si>
    <t>Anthony Snyder</t>
  </si>
  <si>
    <t>West Robertville</t>
  </si>
  <si>
    <t>James Ray</t>
  </si>
  <si>
    <t>Andrewshire</t>
  </si>
  <si>
    <t>Walter Johnson</t>
  </si>
  <si>
    <t>West Deannaland</t>
  </si>
  <si>
    <t>Denise Molina</t>
  </si>
  <si>
    <t>Millermouth</t>
  </si>
  <si>
    <t>Michael Gibson</t>
  </si>
  <si>
    <t>Port Nathanielville</t>
  </si>
  <si>
    <t>Brenda Holder</t>
  </si>
  <si>
    <t>Perezland</t>
  </si>
  <si>
    <t>Amy Ware</t>
  </si>
  <si>
    <t>North Brandonport</t>
  </si>
  <si>
    <t>Rebecca Gray</t>
  </si>
  <si>
    <t>East Brandy</t>
  </si>
  <si>
    <t>Nicole Barron</t>
  </si>
  <si>
    <t>Walshville</t>
  </si>
  <si>
    <t>Mary Bray</t>
  </si>
  <si>
    <t>Kendrafort</t>
  </si>
  <si>
    <t>Michelle Gomez</t>
  </si>
  <si>
    <t>Johnny Lewis</t>
  </si>
  <si>
    <t>South Lori</t>
  </si>
  <si>
    <t>Robert Gill</t>
  </si>
  <si>
    <t>Kathleenport</t>
  </si>
  <si>
    <t>Ashley Anderson</t>
  </si>
  <si>
    <t>Donald Martin</t>
  </si>
  <si>
    <t>Stephanieshire</t>
  </si>
  <si>
    <t>Natasha Allen</t>
  </si>
  <si>
    <t>Lopeztown</t>
  </si>
  <si>
    <t>Derek Mcintosh</t>
  </si>
  <si>
    <t>West Ryanberg</t>
  </si>
  <si>
    <t>Amy Nelson</t>
  </si>
  <si>
    <t>North Deborahchester</t>
  </si>
  <si>
    <t>Kirk Moreno</t>
  </si>
  <si>
    <t>Stoneville</t>
  </si>
  <si>
    <t>Colleen Brown</t>
  </si>
  <si>
    <t>New Josephland</t>
  </si>
  <si>
    <t>Manuel Baldwin</t>
  </si>
  <si>
    <t>Longbury</t>
  </si>
  <si>
    <t>Dalton Walsh</t>
  </si>
  <si>
    <t>Jessicaville</t>
  </si>
  <si>
    <t>Eric Knox</t>
  </si>
  <si>
    <t>East Leslie</t>
  </si>
  <si>
    <t>Jesse Rivers</t>
  </si>
  <si>
    <t>Pattersontown</t>
  </si>
  <si>
    <t>Philip Smith</t>
  </si>
  <si>
    <t>Tarashire</t>
  </si>
  <si>
    <t>Andrew Smith</t>
  </si>
  <si>
    <t>Maryhaven</t>
  </si>
  <si>
    <t>Ariel Lara</t>
  </si>
  <si>
    <t>Shaunstad</t>
  </si>
  <si>
    <t>Jimmy Carey</t>
  </si>
  <si>
    <t>Jenniferhaven</t>
  </si>
  <si>
    <t>Monica Smith</t>
  </si>
  <si>
    <t>Chaseberg</t>
  </si>
  <si>
    <t>Patrick Mcpherson</t>
  </si>
  <si>
    <t>Jamieland</t>
  </si>
  <si>
    <t>Donald Sims</t>
  </si>
  <si>
    <t>Archerhaven</t>
  </si>
  <si>
    <t>Jeanne Butler</t>
  </si>
  <si>
    <t>Kyleton</t>
  </si>
  <si>
    <t>Barbara Pope</t>
  </si>
  <si>
    <t>Keithtown</t>
  </si>
  <si>
    <t>Chris Levy</t>
  </si>
  <si>
    <t>West Tommy</t>
  </si>
  <si>
    <t>Daniel Petersen</t>
  </si>
  <si>
    <t>North Tracytown</t>
  </si>
  <si>
    <t>Chad Koch</t>
  </si>
  <si>
    <t>North Jennifer</t>
  </si>
  <si>
    <t>Thomas Carter</t>
  </si>
  <si>
    <t>South Sarahbury</t>
  </si>
  <si>
    <t>Annette Green</t>
  </si>
  <si>
    <t>Carlaburgh</t>
  </si>
  <si>
    <t>Brenda Saunders</t>
  </si>
  <si>
    <t>Derekside</t>
  </si>
  <si>
    <t>Keith Fuller</t>
  </si>
  <si>
    <t>South Kimberly</t>
  </si>
  <si>
    <t>Melissa Gordon</t>
  </si>
  <si>
    <t>Taylorchester</t>
  </si>
  <si>
    <t>Thomas Johnson</t>
  </si>
  <si>
    <t>Davisberg</t>
  </si>
  <si>
    <t>Bethany Daniels</t>
  </si>
  <si>
    <t>Brianfurt</t>
  </si>
  <si>
    <t>Phillip Holmes</t>
  </si>
  <si>
    <t>North Brianville</t>
  </si>
  <si>
    <t>Krystal Vaughn</t>
  </si>
  <si>
    <t>North Joyhaven</t>
  </si>
  <si>
    <t>Kristina Coffey</t>
  </si>
  <si>
    <t>East Patty</t>
  </si>
  <si>
    <t>William Smith</t>
  </si>
  <si>
    <t>Hansonborough</t>
  </si>
  <si>
    <t>Spencer Meyer</t>
  </si>
  <si>
    <t>East Dale</t>
  </si>
  <si>
    <t>Timothy Evans</t>
  </si>
  <si>
    <t>Mcgrathbury</t>
  </si>
  <si>
    <t>Lisa Reynolds</t>
  </si>
  <si>
    <t>East Donaldbury</t>
  </si>
  <si>
    <t>John Roberts</t>
  </si>
  <si>
    <t>New Trevorview</t>
  </si>
  <si>
    <t>Robert Hernandez</t>
  </si>
  <si>
    <t>Stephenshire</t>
  </si>
  <si>
    <t>Matthew Barry</t>
  </si>
  <si>
    <t>William Howard</t>
  </si>
  <si>
    <t>West Rachel</t>
  </si>
  <si>
    <t>Matthew Bell</t>
  </si>
  <si>
    <t>Stephenberg</t>
  </si>
  <si>
    <t>Andrea Franco</t>
  </si>
  <si>
    <t>Bennettfort</t>
  </si>
  <si>
    <t>Kelly Anderson</t>
  </si>
  <si>
    <t>Briannashire</t>
  </si>
  <si>
    <t>Andrea Johnson</t>
  </si>
  <si>
    <t>East Colin</t>
  </si>
  <si>
    <t>David Ingram</t>
  </si>
  <si>
    <t>Jennifer Brown</t>
  </si>
  <si>
    <t>Dannyland</t>
  </si>
  <si>
    <t>Alyssa Thompson</t>
  </si>
  <si>
    <t>Lake Shannonberg</t>
  </si>
  <si>
    <t>Michael Perez DDS</t>
  </si>
  <si>
    <t>Cervantesborough</t>
  </si>
  <si>
    <t>Mary Harris</t>
  </si>
  <si>
    <t>Gina Fleming</t>
  </si>
  <si>
    <t>Leeborough</t>
  </si>
  <si>
    <t>Steven Castaneda</t>
  </si>
  <si>
    <t>South Ronaldfurt</t>
  </si>
  <si>
    <t>Joseph Garcia</t>
  </si>
  <si>
    <t>Hallside</t>
  </si>
  <si>
    <t>Donna Clayton</t>
  </si>
  <si>
    <t>Warnerland</t>
  </si>
  <si>
    <t>Dana Holmes</t>
  </si>
  <si>
    <t>Reginaldton</t>
  </si>
  <si>
    <t>Victoria Delgado</t>
  </si>
  <si>
    <t>West Robertborough</t>
  </si>
  <si>
    <t>Robert Rivera</t>
  </si>
  <si>
    <t>East Trevorshire</t>
  </si>
  <si>
    <t>Linda Salazar</t>
  </si>
  <si>
    <t>New Timothyberg</t>
  </si>
  <si>
    <t>Jonathan Perez</t>
  </si>
  <si>
    <t>Ryanport</t>
  </si>
  <si>
    <t>Richard Gonzalez</t>
  </si>
  <si>
    <t>Flemingtown</t>
  </si>
  <si>
    <t>Melissa Jordan</t>
  </si>
  <si>
    <t>Mrs. Cheryl Kim</t>
  </si>
  <si>
    <t>East Jesseshire</t>
  </si>
  <si>
    <t>Stacy Mcguire</t>
  </si>
  <si>
    <t>Port Alexisbury</t>
  </si>
  <si>
    <t>Christopher Williams</t>
  </si>
  <si>
    <t>Carriebury</t>
  </si>
  <si>
    <t>Matthew Douglas</t>
  </si>
  <si>
    <t>West Shawnaborough</t>
  </si>
  <si>
    <t>Shannon Wallace</t>
  </si>
  <si>
    <t>Shellyside</t>
  </si>
  <si>
    <t>Debra Wolfe</t>
  </si>
  <si>
    <t>North Michaelchester</t>
  </si>
  <si>
    <t>Chad Daugherty</t>
  </si>
  <si>
    <t>West Judy</t>
  </si>
  <si>
    <t>Rachel Johnson</t>
  </si>
  <si>
    <t>Lake Scott</t>
  </si>
  <si>
    <t>Mr. Donald Cruz PhD</t>
  </si>
  <si>
    <t>North Joshuafurt</t>
  </si>
  <si>
    <t>Andrew Harris</t>
  </si>
  <si>
    <t>Lake Ryan</t>
  </si>
  <si>
    <t>Phillip Pineda</t>
  </si>
  <si>
    <t>Sandraview</t>
  </si>
  <si>
    <t>Lisa Glenn</t>
  </si>
  <si>
    <t>Port Danielfurt</t>
  </si>
  <si>
    <t>Nathan Mack</t>
  </si>
  <si>
    <t>Franciscofurt</t>
  </si>
  <si>
    <t>Adrian Marsh</t>
  </si>
  <si>
    <t>Luis Ward</t>
  </si>
  <si>
    <t>Kimberlytown</t>
  </si>
  <si>
    <t>Sara Abbott</t>
  </si>
  <si>
    <t>Fordmouth</t>
  </si>
  <si>
    <t>Karen Richard</t>
  </si>
  <si>
    <t>South Brian</t>
  </si>
  <si>
    <t>Tiffany Alexander</t>
  </si>
  <si>
    <t>Katieview</t>
  </si>
  <si>
    <t>Christopher Pitts</t>
  </si>
  <si>
    <t>East Dannyton</t>
  </si>
  <si>
    <t>Lauren Williams</t>
  </si>
  <si>
    <t>North Stephanie</t>
  </si>
  <si>
    <t>Shannon Gomez</t>
  </si>
  <si>
    <t>New Jimmyville</t>
  </si>
  <si>
    <t>Billy Harris</t>
  </si>
  <si>
    <t>Mariachester</t>
  </si>
  <si>
    <t>Briana Nguyen</t>
  </si>
  <si>
    <t>Matthewchester</t>
  </si>
  <si>
    <t>Caitlin Williams</t>
  </si>
  <si>
    <t>New Anthony</t>
  </si>
  <si>
    <t>Natalie Logan</t>
  </si>
  <si>
    <t>Shelbyfurt</t>
  </si>
  <si>
    <t>Zachary Miller</t>
  </si>
  <si>
    <t>East Arianashire</t>
  </si>
  <si>
    <t>Kelsey Williams</t>
  </si>
  <si>
    <t>Hopkinshaven</t>
  </si>
  <si>
    <t>Kenneth Bartlett</t>
  </si>
  <si>
    <t>Johnstad</t>
  </si>
  <si>
    <t>Shirley Cox</t>
  </si>
  <si>
    <t>Annland</t>
  </si>
  <si>
    <t>Joann Barnes</t>
  </si>
  <si>
    <t>New John</t>
  </si>
  <si>
    <t>Lisa Flynn</t>
  </si>
  <si>
    <t>Ms. Mackenzie Barton</t>
  </si>
  <si>
    <t>South Alexis</t>
  </si>
  <si>
    <t>Michelle Harrison</t>
  </si>
  <si>
    <t>East Mollychester</t>
  </si>
  <si>
    <t>Brandi Camacho DVM</t>
  </si>
  <si>
    <t>Gomezfurt</t>
  </si>
  <si>
    <t>Steven Villanueva</t>
  </si>
  <si>
    <t>Lake Brandonstad</t>
  </si>
  <si>
    <t>Ruben Roberts</t>
  </si>
  <si>
    <t>Gravesburgh</t>
  </si>
  <si>
    <t>Linda Wood</t>
  </si>
  <si>
    <t>Graymouth</t>
  </si>
  <si>
    <t>Raymond Hall</t>
  </si>
  <si>
    <t>Petersonshire</t>
  </si>
  <si>
    <t>Tanya Mitchell</t>
  </si>
  <si>
    <t>Floresburgh</t>
  </si>
  <si>
    <t>Donald Hobbs</t>
  </si>
  <si>
    <t>Coryport</t>
  </si>
  <si>
    <t>Jeffrey Mcclure</t>
  </si>
  <si>
    <t>Sheilaview</t>
  </si>
  <si>
    <t>Daniel Roberson</t>
  </si>
  <si>
    <t>North Carmen</t>
  </si>
  <si>
    <t>Adriana Wall</t>
  </si>
  <si>
    <t>West Jamesshire</t>
  </si>
  <si>
    <t>Sandra Phillips</t>
  </si>
  <si>
    <t>Lake Jasmineville</t>
  </si>
  <si>
    <t>Sean Kaiser</t>
  </si>
  <si>
    <t>West Lindabury</t>
  </si>
  <si>
    <t>Desiree Mccoy</t>
  </si>
  <si>
    <t>Lake Haileyton</t>
  </si>
  <si>
    <t>Ryan Guerrero</t>
  </si>
  <si>
    <t>Lake Courtneybury</t>
  </si>
  <si>
    <t>Connie Gonzalez</t>
  </si>
  <si>
    <t>Hernandezburgh</t>
  </si>
  <si>
    <t>Shawn Tapia</t>
  </si>
  <si>
    <t>North Ryan</t>
  </si>
  <si>
    <t>Christopher Barnes</t>
  </si>
  <si>
    <t>Christinashire</t>
  </si>
  <si>
    <t>Mr. Christopher Evans</t>
  </si>
  <si>
    <t>Kimberly Phillips</t>
  </si>
  <si>
    <t>North Sydney</t>
  </si>
  <si>
    <t>Matthew Wilson</t>
  </si>
  <si>
    <t>Huberville</t>
  </si>
  <si>
    <t>Patricia Webb</t>
  </si>
  <si>
    <t>Burkebury</t>
  </si>
  <si>
    <t>Stacy Patton</t>
  </si>
  <si>
    <t>New Kelseyview</t>
  </si>
  <si>
    <t>Jessica Green</t>
  </si>
  <si>
    <t>West Toddbury</t>
  </si>
  <si>
    <t>Jason Armstrong</t>
  </si>
  <si>
    <t>New Jamie</t>
  </si>
  <si>
    <t>Larry Smith</t>
  </si>
  <si>
    <t>Port Nicholasmouth</t>
  </si>
  <si>
    <t>Kelly Cox</t>
  </si>
  <si>
    <t>East Mary</t>
  </si>
  <si>
    <t>Christopher Brooks</t>
  </si>
  <si>
    <t>Lewisbury</t>
  </si>
  <si>
    <t>Kelsey Mason</t>
  </si>
  <si>
    <t>Williamsport</t>
  </si>
  <si>
    <t>Melissa Johnson</t>
  </si>
  <si>
    <t>Port Kristenfurt</t>
  </si>
  <si>
    <t>Angela Wagner</t>
  </si>
  <si>
    <t>Smithside</t>
  </si>
  <si>
    <t>Cheyenne Obrien</t>
  </si>
  <si>
    <t>Kristenchester</t>
  </si>
  <si>
    <t>Jimmy Garcia</t>
  </si>
  <si>
    <t>Bennettchester</t>
  </si>
  <si>
    <t>Karen Velez</t>
  </si>
  <si>
    <t>South Andre</t>
  </si>
  <si>
    <t>Pamela Klein</t>
  </si>
  <si>
    <t>Walkertown</t>
  </si>
  <si>
    <t>Justin Day</t>
  </si>
  <si>
    <t>Douglasland</t>
  </si>
  <si>
    <t>Tom Watkins</t>
  </si>
  <si>
    <t>East Richardfort</t>
  </si>
  <si>
    <t>Amy Snyder</t>
  </si>
  <si>
    <t>Collinsmouth</t>
  </si>
  <si>
    <t>Linda Savage</t>
  </si>
  <si>
    <t>Hannahside</t>
  </si>
  <si>
    <t>Matthew Morris</t>
  </si>
  <si>
    <t>Robertsonland</t>
  </si>
  <si>
    <t>Peter Martin</t>
  </si>
  <si>
    <t>East Jamesville</t>
  </si>
  <si>
    <t>Robert Freeman</t>
  </si>
  <si>
    <t>Rossport</t>
  </si>
  <si>
    <t>Shirley Nelson</t>
  </si>
  <si>
    <t>Christinastad</t>
  </si>
  <si>
    <t>Christine Mendez</t>
  </si>
  <si>
    <t>Aprilview</t>
  </si>
  <si>
    <t>Tammy Cortez</t>
  </si>
  <si>
    <t>East Alice</t>
  </si>
  <si>
    <t>Chris Jones</t>
  </si>
  <si>
    <t>West Jacquelineborough</t>
  </si>
  <si>
    <t>Antonio Harrison</t>
  </si>
  <si>
    <t>Corey Mitchell</t>
  </si>
  <si>
    <t>Silvaport</t>
  </si>
  <si>
    <t>Kristina May</t>
  </si>
  <si>
    <t>Dennis Garcia</t>
  </si>
  <si>
    <t>Riverashire</t>
  </si>
  <si>
    <t>Kara Jackson</t>
  </si>
  <si>
    <t>East Christopher</t>
  </si>
  <si>
    <t>Aaron Miller</t>
  </si>
  <si>
    <t>East Williammouth</t>
  </si>
  <si>
    <t>Jonathan Wilson</t>
  </si>
  <si>
    <t>Bennettfurt</t>
  </si>
  <si>
    <t>Emily Miller</t>
  </si>
  <si>
    <t>East Sonia</t>
  </si>
  <si>
    <t>Kristina Henry</t>
  </si>
  <si>
    <t>Ginaside</t>
  </si>
  <si>
    <t>Sean Wyatt</t>
  </si>
  <si>
    <t>Joseph Smith</t>
  </si>
  <si>
    <t>Markstad</t>
  </si>
  <si>
    <t>Amanda Hill</t>
  </si>
  <si>
    <t>Sandersview</t>
  </si>
  <si>
    <t>Samantha Roy</t>
  </si>
  <si>
    <t>Osbornmouth</t>
  </si>
  <si>
    <t>Maria Gardner</t>
  </si>
  <si>
    <t>North Mikeberg</t>
  </si>
  <si>
    <t>Ryan Brown</t>
  </si>
  <si>
    <t>West Connorside</t>
  </si>
  <si>
    <t>Faith Powers</t>
  </si>
  <si>
    <t>Rachaelburgh</t>
  </si>
  <si>
    <t>Jennifer Monroe</t>
  </si>
  <si>
    <t>North Jameshaven</t>
  </si>
  <si>
    <t>Jeremy Hill</t>
  </si>
  <si>
    <t>Lake William</t>
  </si>
  <si>
    <t>Justin Wilson</t>
  </si>
  <si>
    <t>Carrollland</t>
  </si>
  <si>
    <t>Catherine Miller</t>
  </si>
  <si>
    <t>Brittanytown</t>
  </si>
  <si>
    <t>Julia Wiley</t>
  </si>
  <si>
    <t>West Mary</t>
  </si>
  <si>
    <t>James Mitchell</t>
  </si>
  <si>
    <t>Donaldmouth</t>
  </si>
  <si>
    <t>Curtis Krause</t>
  </si>
  <si>
    <t>Heidiview</t>
  </si>
  <si>
    <t>Hannah May</t>
  </si>
  <si>
    <t>Gallegosburgh</t>
  </si>
  <si>
    <t>Keith Chaney</t>
  </si>
  <si>
    <t>Reedport</t>
  </si>
  <si>
    <t>Natalie Adams</t>
  </si>
  <si>
    <t>West Jeffery</t>
  </si>
  <si>
    <t>Lynn Alvarez</t>
  </si>
  <si>
    <t>Willisstad</t>
  </si>
  <si>
    <t>Erica Garcia</t>
  </si>
  <si>
    <t>Mistytown</t>
  </si>
  <si>
    <t>Elizabeth Owens</t>
  </si>
  <si>
    <t>Port Andrew</t>
  </si>
  <si>
    <t>Monica Wells</t>
  </si>
  <si>
    <t>Wesley Rich</t>
  </si>
  <si>
    <t>South Ronaldview</t>
  </si>
  <si>
    <t>Christopher Turner</t>
  </si>
  <si>
    <t>New Karen</t>
  </si>
  <si>
    <t>Amy Davis</t>
  </si>
  <si>
    <t>Charles Andrade</t>
  </si>
  <si>
    <t>Kyleburgh</t>
  </si>
  <si>
    <t>David Cohen</t>
  </si>
  <si>
    <t>Adamburgh</t>
  </si>
  <si>
    <t>Jennifer Lewis</t>
  </si>
  <si>
    <t>Barnettmouth</t>
  </si>
  <si>
    <t>Phillip Anderson</t>
  </si>
  <si>
    <t>Rachaelchester</t>
  </si>
  <si>
    <t>Michael Cordova</t>
  </si>
  <si>
    <t>Rodney Bishop</t>
  </si>
  <si>
    <t>Melendezbury</t>
  </si>
  <si>
    <t>Eric Davis</t>
  </si>
  <si>
    <t>Valdezchester</t>
  </si>
  <si>
    <t>Roberto Johnson</t>
  </si>
  <si>
    <t>Whitefurt</t>
  </si>
  <si>
    <t>Hannah Oconnor</t>
  </si>
  <si>
    <t>Laratown</t>
  </si>
  <si>
    <t>Janet Gibson</t>
  </si>
  <si>
    <t>Valdezfurt</t>
  </si>
  <si>
    <t>Patrick Wilson</t>
  </si>
  <si>
    <t>Shawfort</t>
  </si>
  <si>
    <t>Christopher Coleman</t>
  </si>
  <si>
    <t>Bergland</t>
  </si>
  <si>
    <t>Michelle Scott</t>
  </si>
  <si>
    <t>Grahammouth</t>
  </si>
  <si>
    <t>Julia Williams</t>
  </si>
  <si>
    <t>Johnnymouth</t>
  </si>
  <si>
    <t>Edward Butler</t>
  </si>
  <si>
    <t>Nguyenton</t>
  </si>
  <si>
    <t>Jennifer Thompson</t>
  </si>
  <si>
    <t>East Jessicafort</t>
  </si>
  <si>
    <t>Melissa Sanchez</t>
  </si>
  <si>
    <t>Misty Burnett</t>
  </si>
  <si>
    <t>South Williamland</t>
  </si>
  <si>
    <t>Alex Clements</t>
  </si>
  <si>
    <t>Jenniferland</t>
  </si>
  <si>
    <t>Whitney Gilbert</t>
  </si>
  <si>
    <t>Lake Lauren</t>
  </si>
  <si>
    <t>Timothy Hill</t>
  </si>
  <si>
    <t>West Walter</t>
  </si>
  <si>
    <t>Megan Nelson</t>
  </si>
  <si>
    <t>Clarkchester</t>
  </si>
  <si>
    <t>Richard Reid</t>
  </si>
  <si>
    <t>East Jeffreymouth</t>
  </si>
  <si>
    <t>Michael Wilcox</t>
  </si>
  <si>
    <t>Waltersmouth</t>
  </si>
  <si>
    <t>Gilbert Reed</t>
  </si>
  <si>
    <t>Hernandezfort</t>
  </si>
  <si>
    <t>Dawn Johnson</t>
  </si>
  <si>
    <t>Lake Tommystad</t>
  </si>
  <si>
    <t>Edgar Stewart</t>
  </si>
  <si>
    <t>Johnsonshire</t>
  </si>
  <si>
    <t>Jennifer Hubbard</t>
  </si>
  <si>
    <t>Angelafort</t>
  </si>
  <si>
    <t>Lawrence Atkinson</t>
  </si>
  <si>
    <t>South Jefferyville</t>
  </si>
  <si>
    <t>Victoria Werner</t>
  </si>
  <si>
    <t>Bellborough</t>
  </si>
  <si>
    <t>Jack Garcia</t>
  </si>
  <si>
    <t>Wayneside</t>
  </si>
  <si>
    <t>John Mckenzie MD</t>
  </si>
  <si>
    <t>South Keith</t>
  </si>
  <si>
    <t>Melinda Garcia</t>
  </si>
  <si>
    <t>Mccannchester</t>
  </si>
  <si>
    <t>Brenda Harvey</t>
  </si>
  <si>
    <t>New Ashleychester</t>
  </si>
  <si>
    <t>Keith Kennedy</t>
  </si>
  <si>
    <t>West Andrewfurt</t>
  </si>
  <si>
    <t>Nathan Allen</t>
  </si>
  <si>
    <t>Gilesborough</t>
  </si>
  <si>
    <t>Andre Lane</t>
  </si>
  <si>
    <t>Sanchezmouth</t>
  </si>
  <si>
    <t>Ashley Munoz</t>
  </si>
  <si>
    <t>Monicaburgh</t>
  </si>
  <si>
    <t>Andrew Rhodes</t>
  </si>
  <si>
    <t>Atkinsland</t>
  </si>
  <si>
    <t>Ricardo Holland</t>
  </si>
  <si>
    <t>South Timothyton</t>
  </si>
  <si>
    <t>Mitchell Hunt</t>
  </si>
  <si>
    <t>Pattersonville</t>
  </si>
  <si>
    <t>Lauren Moody</t>
  </si>
  <si>
    <t>Christine Davis</t>
  </si>
  <si>
    <t>South Rachelfort</t>
  </si>
  <si>
    <t>Jeremy Cobb</t>
  </si>
  <si>
    <t>Ashleyton</t>
  </si>
  <si>
    <t>Daniel Wood</t>
  </si>
  <si>
    <t>Jenniferport</t>
  </si>
  <si>
    <t>Micheal Nunez</t>
  </si>
  <si>
    <t>Lake Linda</t>
  </si>
  <si>
    <t>James Walsh</t>
  </si>
  <si>
    <t>Port Jasonport</t>
  </si>
  <si>
    <t>Nathan Mcgee</t>
  </si>
  <si>
    <t>Woodsburgh</t>
  </si>
  <si>
    <t>Kathryn Mills</t>
  </si>
  <si>
    <t>Grimesfort</t>
  </si>
  <si>
    <t>Steven Smith</t>
  </si>
  <si>
    <t>West Jeffreyborough</t>
  </si>
  <si>
    <t>Monica Wilson</t>
  </si>
  <si>
    <t>West Victor</t>
  </si>
  <si>
    <t>Natalie Cox</t>
  </si>
  <si>
    <t>South Conniemouth</t>
  </si>
  <si>
    <t>Kimberly Figueroa</t>
  </si>
  <si>
    <t>Port Brianshire</t>
  </si>
  <si>
    <t>Patrick Norris</t>
  </si>
  <si>
    <t>East Hannah</t>
  </si>
  <si>
    <t>Deborah Ramirez</t>
  </si>
  <si>
    <t>Lake Mariah</t>
  </si>
  <si>
    <t>Daniel Sanchez</t>
  </si>
  <si>
    <t>Marshallside</t>
  </si>
  <si>
    <t>John Ramos</t>
  </si>
  <si>
    <t>Gonzalezside</t>
  </si>
  <si>
    <t>Adam Jordan</t>
  </si>
  <si>
    <t>Lake Oliviaborough</t>
  </si>
  <si>
    <t>Lindsay Vasquez</t>
  </si>
  <si>
    <t>West William</t>
  </si>
  <si>
    <t>Joseph Peterson</t>
  </si>
  <si>
    <t>Connieville</t>
  </si>
  <si>
    <t>William Ruiz</t>
  </si>
  <si>
    <t>East Cameron</t>
  </si>
  <si>
    <t>Scott Peterson</t>
  </si>
  <si>
    <t>Erica Moreno</t>
  </si>
  <si>
    <t>Lake Kevinborough</t>
  </si>
  <si>
    <t>James Jackson</t>
  </si>
  <si>
    <t>New Elaine</t>
  </si>
  <si>
    <t>Rachel Chan</t>
  </si>
  <si>
    <t>Jeremyview</t>
  </si>
  <si>
    <t>Gene Gomez</t>
  </si>
  <si>
    <t>Shannonchester</t>
  </si>
  <si>
    <t>Jennifer Schmitt</t>
  </si>
  <si>
    <t>Debbieberg</t>
  </si>
  <si>
    <t>Christina Bates</t>
  </si>
  <si>
    <t>Kennethstad</t>
  </si>
  <si>
    <t>Erika Castro</t>
  </si>
  <si>
    <t>Port Jason</t>
  </si>
  <si>
    <t>David Nguyen</t>
  </si>
  <si>
    <t>Susan Tucker</t>
  </si>
  <si>
    <t>Valerieshire</t>
  </si>
  <si>
    <t>Grant Medina</t>
  </si>
  <si>
    <t>Mcleanville</t>
  </si>
  <si>
    <t>Reginald Gutierrez</t>
  </si>
  <si>
    <t>Port Edward</t>
  </si>
  <si>
    <t>Jessica Murphy</t>
  </si>
  <si>
    <t>Angelaport</t>
  </si>
  <si>
    <t>Melissa Stevenson</t>
  </si>
  <si>
    <t>Rebeccamouth</t>
  </si>
  <si>
    <t>Joel Cook</t>
  </si>
  <si>
    <t>Jonathantown</t>
  </si>
  <si>
    <t>Robert Yates</t>
  </si>
  <si>
    <t>New Nathanielshire</t>
  </si>
  <si>
    <t>Erin Ryan</t>
  </si>
  <si>
    <t>Baileyland</t>
  </si>
  <si>
    <t>Phyllis Schmidt</t>
  </si>
  <si>
    <t>New Sandraborough</t>
  </si>
  <si>
    <t>Julie Preston</t>
  </si>
  <si>
    <t>Lake Mark</t>
  </si>
  <si>
    <t>Joseph Schwartz</t>
  </si>
  <si>
    <t>Prestonfurt</t>
  </si>
  <si>
    <t>Alicia Perez</t>
  </si>
  <si>
    <t>Christina Underwood</t>
  </si>
  <si>
    <t>Patriciashire</t>
  </si>
  <si>
    <t>Christopher Johnson</t>
  </si>
  <si>
    <t>Port Davidstad</t>
  </si>
  <si>
    <t>William Hall</t>
  </si>
  <si>
    <t>Jaime Wallace</t>
  </si>
  <si>
    <t>South Brandon</t>
  </si>
  <si>
    <t>James Olsen</t>
  </si>
  <si>
    <t>East Williamshire</t>
  </si>
  <si>
    <t>Barbara Burns</t>
  </si>
  <si>
    <t>Karamouth</t>
  </si>
  <si>
    <t>Dr. Heather Scott</t>
  </si>
  <si>
    <t>South Allenfurt</t>
  </si>
  <si>
    <t>Tracy Copeland</t>
  </si>
  <si>
    <t>Bautistaport</t>
  </si>
  <si>
    <t>Rhonda Liu</t>
  </si>
  <si>
    <t>West Jessicamouth</t>
  </si>
  <si>
    <t>Adam Stone</t>
  </si>
  <si>
    <t>Lake Terry</t>
  </si>
  <si>
    <t>Sharon Guerrero</t>
  </si>
  <si>
    <t>Christinaburgh</t>
  </si>
  <si>
    <t>Traci Harmon</t>
  </si>
  <si>
    <t>West Natasha</t>
  </si>
  <si>
    <t>Mr. Mario Stout III</t>
  </si>
  <si>
    <t>Anthonytown</t>
  </si>
  <si>
    <t>Shane Mcintyre</t>
  </si>
  <si>
    <t>New Nicholashaven</t>
  </si>
  <si>
    <t>Steven Davis</t>
  </si>
  <si>
    <t>North Tanyamouth</t>
  </si>
  <si>
    <t>Larry Walsh</t>
  </si>
  <si>
    <t>Thomasview</t>
  </si>
  <si>
    <t>Louis Moran</t>
  </si>
  <si>
    <t>Vasquezshire</t>
  </si>
  <si>
    <t>Renee Thomas</t>
  </si>
  <si>
    <t>Lake Codyfurt</t>
  </si>
  <si>
    <t>David Blair</t>
  </si>
  <si>
    <t>Markmouth</t>
  </si>
  <si>
    <t>Debra Lam MD</t>
  </si>
  <si>
    <t>Donnashire</t>
  </si>
  <si>
    <t>Craig White</t>
  </si>
  <si>
    <t>Lake Austin</t>
  </si>
  <si>
    <t>Kenneth Webb</t>
  </si>
  <si>
    <t>Jacobshire</t>
  </si>
  <si>
    <t>Dennis Gonzales</t>
  </si>
  <si>
    <t>Dianahaven</t>
  </si>
  <si>
    <t>Mary Barnett</t>
  </si>
  <si>
    <t>Kathrynview</t>
  </si>
  <si>
    <t>Traci Martinez</t>
  </si>
  <si>
    <t>Gregory Chavez</t>
  </si>
  <si>
    <t>Port Teresaburgh</t>
  </si>
  <si>
    <t>Michael Parsons</t>
  </si>
  <si>
    <t>Lake Julie</t>
  </si>
  <si>
    <t>Kerry Williams</t>
  </si>
  <si>
    <t>Amberhaven</t>
  </si>
  <si>
    <t>Christopher Walters</t>
  </si>
  <si>
    <t>Port Sarah</t>
  </si>
  <si>
    <t>Dale Williams</t>
  </si>
  <si>
    <t>Phillipshaven</t>
  </si>
  <si>
    <t>Nathan Evans</t>
  </si>
  <si>
    <t>West Jeanetteport</t>
  </si>
  <si>
    <t>Andrea Fischer</t>
  </si>
  <si>
    <t>East Timothy</t>
  </si>
  <si>
    <t>Maria Myers</t>
  </si>
  <si>
    <t>James Barber</t>
  </si>
  <si>
    <t>East Scott</t>
  </si>
  <si>
    <t>Kelly Warren</t>
  </si>
  <si>
    <t>Hallmouth</t>
  </si>
  <si>
    <t>Jordan Jones</t>
  </si>
  <si>
    <t>Nancyton</t>
  </si>
  <si>
    <t>Jessica Jackson</t>
  </si>
  <si>
    <t>Blakebury</t>
  </si>
  <si>
    <t>Miss Linda Cox DVM</t>
  </si>
  <si>
    <t>Copelandchester</t>
  </si>
  <si>
    <t>Randy Kirby</t>
  </si>
  <si>
    <t>Rebeccahaven</t>
  </si>
  <si>
    <t>Mrs. Ashley Shaffer</t>
  </si>
  <si>
    <t>New Troy</t>
  </si>
  <si>
    <t>Richard Erickson</t>
  </si>
  <si>
    <t>Obrienfurt</t>
  </si>
  <si>
    <t>Rebecca Finley</t>
  </si>
  <si>
    <t>North Tammybury</t>
  </si>
  <si>
    <t>James Garner</t>
  </si>
  <si>
    <t>Deborahmouth</t>
  </si>
  <si>
    <t>James Trujillo</t>
  </si>
  <si>
    <t>Caldwelltown</t>
  </si>
  <si>
    <t>Tracy Garcia</t>
  </si>
  <si>
    <t>Phammouth</t>
  </si>
  <si>
    <t>Vincent Hill</t>
  </si>
  <si>
    <t>West Stephenview</t>
  </si>
  <si>
    <t>Kimberly Morris</t>
  </si>
  <si>
    <t>Mullinsburgh</t>
  </si>
  <si>
    <t>Joshua Trujillo</t>
  </si>
  <si>
    <t>West Maria</t>
  </si>
  <si>
    <t>Emily Crawford</t>
  </si>
  <si>
    <t>Port Patrick</t>
  </si>
  <si>
    <t>Robert Huang</t>
  </si>
  <si>
    <t>East Marcus</t>
  </si>
  <si>
    <t>Jonathan May</t>
  </si>
  <si>
    <t>Katherineside</t>
  </si>
  <si>
    <t>Christina Davis</t>
  </si>
  <si>
    <t>Phelpsberg</t>
  </si>
  <si>
    <t>Thomas Garcia</t>
  </si>
  <si>
    <t>Christinaland</t>
  </si>
  <si>
    <t>Danielle Moore</t>
  </si>
  <si>
    <t>Anthonybury</t>
  </si>
  <si>
    <t>Robert Thomas</t>
  </si>
  <si>
    <t>Johntown</t>
  </si>
  <si>
    <t>Yvette Lee</t>
  </si>
  <si>
    <t>Port April</t>
  </si>
  <si>
    <t>Veronica Francis</t>
  </si>
  <si>
    <t>Lindaview</t>
  </si>
  <si>
    <t>Taylor Flores</t>
  </si>
  <si>
    <t>Lauren Davis</t>
  </si>
  <si>
    <t>Nicholsville</t>
  </si>
  <si>
    <t>Maria Spencer</t>
  </si>
  <si>
    <t>South Joseph</t>
  </si>
  <si>
    <t>Kevin Brown</t>
  </si>
  <si>
    <t>North Ann</t>
  </si>
  <si>
    <t>Brittany Fleming</t>
  </si>
  <si>
    <t>Lake Joshuaview</t>
  </si>
  <si>
    <t>Michael Bender DVM</t>
  </si>
  <si>
    <t>Lake Shannon</t>
  </si>
  <si>
    <t>Sherri Shah</t>
  </si>
  <si>
    <t>Paul Matthews</t>
  </si>
  <si>
    <t>New Brycechester</t>
  </si>
  <si>
    <t>Kyle Blake</t>
  </si>
  <si>
    <t>Port Howard</t>
  </si>
  <si>
    <t>Brandon Powell</t>
  </si>
  <si>
    <t>Ballardfurt</t>
  </si>
  <si>
    <t>Eric Thompson</t>
  </si>
  <si>
    <t>Kochfort</t>
  </si>
  <si>
    <t>Darrell Duke</t>
  </si>
  <si>
    <t>West Shannonville</t>
  </si>
  <si>
    <t>Amy Hawkins</t>
  </si>
  <si>
    <t>Codytown</t>
  </si>
  <si>
    <t>Eric Marsh</t>
  </si>
  <si>
    <t>Micheleburgh</t>
  </si>
  <si>
    <t>Mr. William Davis DDS</t>
  </si>
  <si>
    <t>New Neil</t>
  </si>
  <si>
    <t>Robin Wallace</t>
  </si>
  <si>
    <t>New Pamelaville</t>
  </si>
  <si>
    <t>Christopher Stone</t>
  </si>
  <si>
    <t>South Jamesberg</t>
  </si>
  <si>
    <t>Rachel Raymond</t>
  </si>
  <si>
    <t>West Johnberg</t>
  </si>
  <si>
    <t>Amanda Brown</t>
  </si>
  <si>
    <t>Cochranshire</t>
  </si>
  <si>
    <t>Erica Rose</t>
  </si>
  <si>
    <t>Shermanborough</t>
  </si>
  <si>
    <t>Craig Raymond</t>
  </si>
  <si>
    <t>Powellfurt</t>
  </si>
  <si>
    <t>Frank Webb MD</t>
  </si>
  <si>
    <t>Gayport</t>
  </si>
  <si>
    <t>Brandon Mcclain</t>
  </si>
  <si>
    <t>Lake Lee</t>
  </si>
  <si>
    <t>Eric Lopez</t>
  </si>
  <si>
    <t>Port Marciachester</t>
  </si>
  <si>
    <t>Melanie Williams</t>
  </si>
  <si>
    <t>Dalton Clark</t>
  </si>
  <si>
    <t>North Sandraborough</t>
  </si>
  <si>
    <t>Mary Herman</t>
  </si>
  <si>
    <t>Traceyfurt</t>
  </si>
  <si>
    <t>Charles Sanchez</t>
  </si>
  <si>
    <t>Nicolechester</t>
  </si>
  <si>
    <t>Adam Colon</t>
  </si>
  <si>
    <t>Ramirezborough</t>
  </si>
  <si>
    <t>Michael Williams</t>
  </si>
  <si>
    <t>Andersonbury</t>
  </si>
  <si>
    <t>Steven Freeman</t>
  </si>
  <si>
    <t>New Mark</t>
  </si>
  <si>
    <t>Dustin Foley</t>
  </si>
  <si>
    <t>Danielville</t>
  </si>
  <si>
    <t>Kathleen Martinez</t>
  </si>
  <si>
    <t>South Timothyville</t>
  </si>
  <si>
    <t>Phillip Drake</t>
  </si>
  <si>
    <t>South Christina</t>
  </si>
  <si>
    <t>Randy Bates</t>
  </si>
  <si>
    <t>Christian Villarreal</t>
  </si>
  <si>
    <t>Sandrastad</t>
  </si>
  <si>
    <t>Christian Carter</t>
  </si>
  <si>
    <t>East Jackborough</t>
  </si>
  <si>
    <t>Jeremiah Bridges</t>
  </si>
  <si>
    <t>Angelaberg</t>
  </si>
  <si>
    <t>Jennifer Ferguson</t>
  </si>
  <si>
    <t>Melinda Smith</t>
  </si>
  <si>
    <t>New Brianfurt</t>
  </si>
  <si>
    <t>Joshua Smith</t>
  </si>
  <si>
    <t>Pinedafurt</t>
  </si>
  <si>
    <t>Thomas Young</t>
  </si>
  <si>
    <t>Salazarstad</t>
  </si>
  <si>
    <t>Shawn Walker</t>
  </si>
  <si>
    <t>Danaburgh</t>
  </si>
  <si>
    <t>Alex Trujillo</t>
  </si>
  <si>
    <t>North Steve</t>
  </si>
  <si>
    <t>Heather Mcmahon</t>
  </si>
  <si>
    <t>Stephensonmouth</t>
  </si>
  <si>
    <t>George Ortega</t>
  </si>
  <si>
    <t>Lake Alyssa</t>
  </si>
  <si>
    <t>Tiffany Daniel</t>
  </si>
  <si>
    <t>Rachelside</t>
  </si>
  <si>
    <t>Charles Rodriguez</t>
  </si>
  <si>
    <t>Evanschester</t>
  </si>
  <si>
    <t>Steve Keller</t>
  </si>
  <si>
    <t>Whitemouth</t>
  </si>
  <si>
    <t>Michael Nelson</t>
  </si>
  <si>
    <t>Lake Richard</t>
  </si>
  <si>
    <t>David Rodgers</t>
  </si>
  <si>
    <t>Stewarthaven</t>
  </si>
  <si>
    <t>Angelica Smith</t>
  </si>
  <si>
    <t>West Melissamouth</t>
  </si>
  <si>
    <t>Elizabeth Jones</t>
  </si>
  <si>
    <t>Brandymouth</t>
  </si>
  <si>
    <t>Brian Hoffman</t>
  </si>
  <si>
    <t>East Robert</t>
  </si>
  <si>
    <t>Juan Harrison</t>
  </si>
  <si>
    <t>Hannahbury</t>
  </si>
  <si>
    <t>Anne Williams</t>
  </si>
  <si>
    <t>Kennedyfort</t>
  </si>
  <si>
    <t>Sabrina Galvan</t>
  </si>
  <si>
    <t>South Patricia</t>
  </si>
  <si>
    <t>Gerald Miller</t>
  </si>
  <si>
    <t>Caseyberg</t>
  </si>
  <si>
    <t>Ashley Donovan</t>
  </si>
  <si>
    <t>Lake Malik</t>
  </si>
  <si>
    <t>Mrs. Lisa Garza</t>
  </si>
  <si>
    <t>Dr. Allison Flores</t>
  </si>
  <si>
    <t>North Debra</t>
  </si>
  <si>
    <t>Gail Nelson DVM</t>
  </si>
  <si>
    <t>Hopkinsmouth</t>
  </si>
  <si>
    <t>Kenneth Turner</t>
  </si>
  <si>
    <t>South Norman</t>
  </si>
  <si>
    <t>Gabriela Pratt</t>
  </si>
  <si>
    <t>Russellmouth</t>
  </si>
  <si>
    <t>Katherine Adams</t>
  </si>
  <si>
    <t>Sellersland</t>
  </si>
  <si>
    <t>Carl Gill</t>
  </si>
  <si>
    <t>North Gregory</t>
  </si>
  <si>
    <t>Peggy Shields</t>
  </si>
  <si>
    <t>Lake Alexandermouth</t>
  </si>
  <si>
    <t>Shelby Murray</t>
  </si>
  <si>
    <t>Kristiville</t>
  </si>
  <si>
    <t>Paul Miller</t>
  </si>
  <si>
    <t>Lake Stephanietown</t>
  </si>
  <si>
    <t>Mitchell Hughes</t>
  </si>
  <si>
    <t>Nicholas Vargas</t>
  </si>
  <si>
    <t>South Jacksontown</t>
  </si>
  <si>
    <t>Shawn Johnston</t>
  </si>
  <si>
    <t>Nicole Perez</t>
  </si>
  <si>
    <t>Reidshire</t>
  </si>
  <si>
    <t>Donna Simmons</t>
  </si>
  <si>
    <t>Jillhaven</t>
  </si>
  <si>
    <t>Christopher Brown</t>
  </si>
  <si>
    <t>Cooperton</t>
  </si>
  <si>
    <t>Patrick Davis</t>
  </si>
  <si>
    <t>Helenland</t>
  </si>
  <si>
    <t>Patrick Castillo</t>
  </si>
  <si>
    <t>Evansfort</t>
  </si>
  <si>
    <t>Christopher Vazquez</t>
  </si>
  <si>
    <t>Marshallmouth</t>
  </si>
  <si>
    <t>Julie Hernandez</t>
  </si>
  <si>
    <t>Barnestown</t>
  </si>
  <si>
    <t>Lynn Ross MD</t>
  </si>
  <si>
    <t>East Brittany</t>
  </si>
  <si>
    <t>John Nelson</t>
  </si>
  <si>
    <t>North Tyler</t>
  </si>
  <si>
    <t>Colton Lawson</t>
  </si>
  <si>
    <t>Reynoldsburgh</t>
  </si>
  <si>
    <t>Brian Benton</t>
  </si>
  <si>
    <t>Franklinberg</t>
  </si>
  <si>
    <t>Christopher Mccoy</t>
  </si>
  <si>
    <t>Carrberg</t>
  </si>
  <si>
    <t>Renee Shields</t>
  </si>
  <si>
    <t>Annettefort</t>
  </si>
  <si>
    <t>David Blackburn</t>
  </si>
  <si>
    <t>Port Rachel</t>
  </si>
  <si>
    <t>Riley Hale</t>
  </si>
  <si>
    <t>West Kimberly</t>
  </si>
  <si>
    <t>Robin Wright</t>
  </si>
  <si>
    <t>Zamoramouth</t>
  </si>
  <si>
    <t>Loretta Miller</t>
  </si>
  <si>
    <t>Fordview</t>
  </si>
  <si>
    <t>Raven Hill</t>
  </si>
  <si>
    <t>West Melanie</t>
  </si>
  <si>
    <t>Aaron Kelly</t>
  </si>
  <si>
    <t>Hoffmanview</t>
  </si>
  <si>
    <t>Kimberly Holloway</t>
  </si>
  <si>
    <t>New Cassie</t>
  </si>
  <si>
    <t>Chloe Lindsey</t>
  </si>
  <si>
    <t>Dan Phillips</t>
  </si>
  <si>
    <t>Lake Dawnchester</t>
  </si>
  <si>
    <t>Wendy Griffin</t>
  </si>
  <si>
    <t>Petersmouth</t>
  </si>
  <si>
    <t>Craig Obrien</t>
  </si>
  <si>
    <t>Frankberg</t>
  </si>
  <si>
    <t>Gabriel Woods</t>
  </si>
  <si>
    <t>West Marie</t>
  </si>
  <si>
    <t>Maria Foster</t>
  </si>
  <si>
    <t>Christieton</t>
  </si>
  <si>
    <t>Michelle Crawford</t>
  </si>
  <si>
    <t>East Edwardhaven</t>
  </si>
  <si>
    <t>Isaac Kelly</t>
  </si>
  <si>
    <t>South Matthewland</t>
  </si>
  <si>
    <t>Jason Clarke</t>
  </si>
  <si>
    <t>New Mackenzie</t>
  </si>
  <si>
    <t>Thomas Green</t>
  </si>
  <si>
    <t>North Deanna</t>
  </si>
  <si>
    <t>Andrew Blake</t>
  </si>
  <si>
    <t>Port Devin</t>
  </si>
  <si>
    <t>Meagan Smith</t>
  </si>
  <si>
    <t>Travischester</t>
  </si>
  <si>
    <t>Christine Aguilar</t>
  </si>
  <si>
    <t>West Jacquelineshire</t>
  </si>
  <si>
    <t>Christian Smith</t>
  </si>
  <si>
    <t>Nicole Scott</t>
  </si>
  <si>
    <t>West Rachael</t>
  </si>
  <si>
    <t>Jeremy Faulkner</t>
  </si>
  <si>
    <t>Harrisville</t>
  </si>
  <si>
    <t>Shelly Gonzalez</t>
  </si>
  <si>
    <t>Marissaborough</t>
  </si>
  <si>
    <t>Mark Knight</t>
  </si>
  <si>
    <t>Jaytown</t>
  </si>
  <si>
    <t>Shannon Clark</t>
  </si>
  <si>
    <t>Cortezmouth</t>
  </si>
  <si>
    <t>Karen Carlson</t>
  </si>
  <si>
    <t>North Christina</t>
  </si>
  <si>
    <t>Adam Hill</t>
  </si>
  <si>
    <t>West Seanshire</t>
  </si>
  <si>
    <t>Matthew Maddox</t>
  </si>
  <si>
    <t>Charleschester</t>
  </si>
  <si>
    <t>Elizabeth Baker</t>
  </si>
  <si>
    <t>North Samantha</t>
  </si>
  <si>
    <t>Brandon Young</t>
  </si>
  <si>
    <t>James Bennett</t>
  </si>
  <si>
    <t>South Ryanmouth</t>
  </si>
  <si>
    <t>Diana Campbell</t>
  </si>
  <si>
    <t>Harrisview</t>
  </si>
  <si>
    <t>Chelsea Norris</t>
  </si>
  <si>
    <t>Lake Bradleyshire</t>
  </si>
  <si>
    <t>Michelle Newton</t>
  </si>
  <si>
    <t>Michaelstad</t>
  </si>
  <si>
    <t>Matthew Watson</t>
  </si>
  <si>
    <t>West Jill</t>
  </si>
  <si>
    <t>Jacqueline Lucero</t>
  </si>
  <si>
    <t>Dylanfort</t>
  </si>
  <si>
    <t>David Taylor</t>
  </si>
  <si>
    <t>Debbiemouth</t>
  </si>
  <si>
    <t>Shannon Weber</t>
  </si>
  <si>
    <t>Amberburgh</t>
  </si>
  <si>
    <t>Jason Rodriguez</t>
  </si>
  <si>
    <t>New Daletown</t>
  </si>
  <si>
    <t>Melinda French</t>
  </si>
  <si>
    <t>Wilsonstad</t>
  </si>
  <si>
    <t>Gregory Russell</t>
  </si>
  <si>
    <t>East Daniellemouth</t>
  </si>
  <si>
    <t>Stephanie Costa</t>
  </si>
  <si>
    <t>South Drewland</t>
  </si>
  <si>
    <t>Daniel Little</t>
  </si>
  <si>
    <t>North Allen</t>
  </si>
  <si>
    <t>Ricardo Jones</t>
  </si>
  <si>
    <t>Shaunville</t>
  </si>
  <si>
    <t>Kyle Cooper</t>
  </si>
  <si>
    <t>Jaredchester</t>
  </si>
  <si>
    <t>Meghan Rowland</t>
  </si>
  <si>
    <t>Florestown</t>
  </si>
  <si>
    <t>Janet Ryan</t>
  </si>
  <si>
    <t>South Haleystad</t>
  </si>
  <si>
    <t>John Bullock</t>
  </si>
  <si>
    <t>Kingland</t>
  </si>
  <si>
    <t>Jordan Curry</t>
  </si>
  <si>
    <t>New Tracey</t>
  </si>
  <si>
    <t>Michele Hayes</t>
  </si>
  <si>
    <t>Christopher Hill</t>
  </si>
  <si>
    <t>Solisside</t>
  </si>
  <si>
    <t>Jose Thompson</t>
  </si>
  <si>
    <t>Carterburgh</t>
  </si>
  <si>
    <t>Brian Moore</t>
  </si>
  <si>
    <t>East Timothybury</t>
  </si>
  <si>
    <t>Amanda White</t>
  </si>
  <si>
    <t>Michelleshire</t>
  </si>
  <si>
    <t>Carlos Irwin</t>
  </si>
  <si>
    <t>South Tylerchester</t>
  </si>
  <si>
    <t>Isabella Stephens</t>
  </si>
  <si>
    <t>Wellsview</t>
  </si>
  <si>
    <t>Brandon Rich</t>
  </si>
  <si>
    <t>Thomashaven</t>
  </si>
  <si>
    <t>Brandon Lopez</t>
  </si>
  <si>
    <t>South Donna</t>
  </si>
  <si>
    <t>Wesley Douglas</t>
  </si>
  <si>
    <t>Wilsonton</t>
  </si>
  <si>
    <t>Paul Myers</t>
  </si>
  <si>
    <t>Briantown</t>
  </si>
  <si>
    <t>Alexa Beard</t>
  </si>
  <si>
    <t>West Samantha</t>
  </si>
  <si>
    <t>Karen Lewis</t>
  </si>
  <si>
    <t>South Angela</t>
  </si>
  <si>
    <t>Brianna Hodges</t>
  </si>
  <si>
    <t>Palmerland</t>
  </si>
  <si>
    <t>Sara Ward</t>
  </si>
  <si>
    <t>Port Jose</t>
  </si>
  <si>
    <t>Phyllis Johnson</t>
  </si>
  <si>
    <t>Peterbury</t>
  </si>
  <si>
    <t>Katrina Russell</t>
  </si>
  <si>
    <t>East Carol</t>
  </si>
  <si>
    <t>Andre Jones</t>
  </si>
  <si>
    <t>Lake Patriciaberg</t>
  </si>
  <si>
    <t>John Roman</t>
  </si>
  <si>
    <t>Kevinside</t>
  </si>
  <si>
    <t>Jasmin Pitts</t>
  </si>
  <si>
    <t>South Matthew</t>
  </si>
  <si>
    <t>Lynn King</t>
  </si>
  <si>
    <t>Sarahport</t>
  </si>
  <si>
    <t>Erika Allen</t>
  </si>
  <si>
    <t>West Teresa</t>
  </si>
  <si>
    <t>Diana Harper</t>
  </si>
  <si>
    <t>Port Chloe</t>
  </si>
  <si>
    <t>Michael Marquez</t>
  </si>
  <si>
    <t>Jamesmouth</t>
  </si>
  <si>
    <t>Sherri Little</t>
  </si>
  <si>
    <t>New Kristy</t>
  </si>
  <si>
    <t>Judy Peterson</t>
  </si>
  <si>
    <t>Catherineview</t>
  </si>
  <si>
    <t>Mrs. Chelsea Villa</t>
  </si>
  <si>
    <t>Gibsonside</t>
  </si>
  <si>
    <t>Derek Jarvis</t>
  </si>
  <si>
    <t>Larsonfort</t>
  </si>
  <si>
    <t>Christopher Ward</t>
  </si>
  <si>
    <t>North Melanieview</t>
  </si>
  <si>
    <t>Richard Frost</t>
  </si>
  <si>
    <t>Harrisshire</t>
  </si>
  <si>
    <t>Marcus Ramirez</t>
  </si>
  <si>
    <t>Allenbury</t>
  </si>
  <si>
    <t>Brittany Spencer</t>
  </si>
  <si>
    <t>Kathrynburgh</t>
  </si>
  <si>
    <t>Tiffany Davis</t>
  </si>
  <si>
    <t>Lisaville</t>
  </si>
  <si>
    <t>Joe Martin</t>
  </si>
  <si>
    <t>Scott Atkinson</t>
  </si>
  <si>
    <t>Lewisville</t>
  </si>
  <si>
    <t>Patrick Cruz</t>
  </si>
  <si>
    <t>Shaun Peterson</t>
  </si>
  <si>
    <t>South Williamfurt</t>
  </si>
  <si>
    <t>Michael Burke</t>
  </si>
  <si>
    <t>Jacksonfurt</t>
  </si>
  <si>
    <t>Donald Espinoza</t>
  </si>
  <si>
    <t>South Caroline</t>
  </si>
  <si>
    <t>Michael Chavez</t>
  </si>
  <si>
    <t>South Ashleystad</t>
  </si>
  <si>
    <t>Jeremy Coleman</t>
  </si>
  <si>
    <t>Scottbury</t>
  </si>
  <si>
    <t>Christopher Nash</t>
  </si>
  <si>
    <t>Port Barry</t>
  </si>
  <si>
    <t>Ann Moon</t>
  </si>
  <si>
    <t>New Heatherton</t>
  </si>
  <si>
    <t>Jody Carter</t>
  </si>
  <si>
    <t>Ramirezburgh</t>
  </si>
  <si>
    <t>Austin Wiggins</t>
  </si>
  <si>
    <t>New Diamondburgh</t>
  </si>
  <si>
    <t>Stephanie Young</t>
  </si>
  <si>
    <t>New Jennifer</t>
  </si>
  <si>
    <t>Philip Cummings</t>
  </si>
  <si>
    <t>New Sarah</t>
  </si>
  <si>
    <t>Pamela Palmer</t>
  </si>
  <si>
    <t>New Williamton</t>
  </si>
  <si>
    <t>Christopher Anderson</t>
  </si>
  <si>
    <t>Audreyview</t>
  </si>
  <si>
    <t>Brian Wright</t>
  </si>
  <si>
    <t>North Tonyaberg</t>
  </si>
  <si>
    <t>Katherine Webster</t>
  </si>
  <si>
    <t>Onealmouth</t>
  </si>
  <si>
    <t>Sara Sullivan</t>
  </si>
  <si>
    <t>Alexandrachester</t>
  </si>
  <si>
    <t>Andrew Jones</t>
  </si>
  <si>
    <t>Meaganville</t>
  </si>
  <si>
    <t>Alexander Freeman</t>
  </si>
  <si>
    <t>East Ryanberg</t>
  </si>
  <si>
    <t>Elizabeth Sanchez</t>
  </si>
  <si>
    <t>East Rebeccaview</t>
  </si>
  <si>
    <t>Jacqueline Harris</t>
  </si>
  <si>
    <t>Elizabeth Brown</t>
  </si>
  <si>
    <t>Blankenshipchester</t>
  </si>
  <si>
    <t>Jose Woods</t>
  </si>
  <si>
    <t>Jonesmouth</t>
  </si>
  <si>
    <t>Willie Thomas</t>
  </si>
  <si>
    <t>Brianhaven</t>
  </si>
  <si>
    <t>Jerry Cook</t>
  </si>
  <si>
    <t>Reedmouth</t>
  </si>
  <si>
    <t>Laurie Stephenson</t>
  </si>
  <si>
    <t>Hamiltonhaven</t>
  </si>
  <si>
    <t>Lacey Jones</t>
  </si>
  <si>
    <t>Port Nicholas</t>
  </si>
  <si>
    <t>Charles Herman</t>
  </si>
  <si>
    <t>New Patrickfurt</t>
  </si>
  <si>
    <t>Troy Lee</t>
  </si>
  <si>
    <t>Wanda Clark</t>
  </si>
  <si>
    <t>East Micheleview</t>
  </si>
  <si>
    <t>William Buckley</t>
  </si>
  <si>
    <t>Wilsonmouth</t>
  </si>
  <si>
    <t>Tina Scott</t>
  </si>
  <si>
    <t>Crystalmouth</t>
  </si>
  <si>
    <t>Diana Wheeler</t>
  </si>
  <si>
    <t>East Lisa</t>
  </si>
  <si>
    <t>Jordan Porter</t>
  </si>
  <si>
    <t>Williamsshire</t>
  </si>
  <si>
    <t>Kristen Richard</t>
  </si>
  <si>
    <t>East Steven</t>
  </si>
  <si>
    <t>Jennifer Ross</t>
  </si>
  <si>
    <t>Kerrybury</t>
  </si>
  <si>
    <t>Mary Hampton</t>
  </si>
  <si>
    <t>South Richardchester</t>
  </si>
  <si>
    <t>Felicia Wood</t>
  </si>
  <si>
    <t>Joefort</t>
  </si>
  <si>
    <t>Samuel Mitchell</t>
  </si>
  <si>
    <t>West Erik</t>
  </si>
  <si>
    <t>Ashlee Miller</t>
  </si>
  <si>
    <t>East Amberfort</t>
  </si>
  <si>
    <t>April Thompson MD</t>
  </si>
  <si>
    <t>Erikastad</t>
  </si>
  <si>
    <t>Erin Williams</t>
  </si>
  <si>
    <t>North Christinaborough</t>
  </si>
  <si>
    <t>Kevin Gilbert</t>
  </si>
  <si>
    <t>Port Cheyenneberg</t>
  </si>
  <si>
    <t>Brooke Parsons</t>
  </si>
  <si>
    <t>South Catherineport</t>
  </si>
  <si>
    <t>Melissa Patrick</t>
  </si>
  <si>
    <t>Stephanieport</t>
  </si>
  <si>
    <t>Timothy Bauer</t>
  </si>
  <si>
    <t>Elizabethborough</t>
  </si>
  <si>
    <t>Brittany Bolton</t>
  </si>
  <si>
    <t>Michelle Graham</t>
  </si>
  <si>
    <t>Lake Elizabethside</t>
  </si>
  <si>
    <t>Mary Diaz</t>
  </si>
  <si>
    <t>Robert Ford</t>
  </si>
  <si>
    <t>Bowersmouth</t>
  </si>
  <si>
    <t>Michelle Barrett</t>
  </si>
  <si>
    <t>North Misty</t>
  </si>
  <si>
    <t>Shawn Cook</t>
  </si>
  <si>
    <t>East Johnfort</t>
  </si>
  <si>
    <t>Randy Welch</t>
  </si>
  <si>
    <t>Laurenstad</t>
  </si>
  <si>
    <t>Dr. Jonathan Clark</t>
  </si>
  <si>
    <t>Erinhaven</t>
  </si>
  <si>
    <t>Wendy Salazar</t>
  </si>
  <si>
    <t>South Kayla</t>
  </si>
  <si>
    <t>Kimberly Campos</t>
  </si>
  <si>
    <t>West Marvinchester</t>
  </si>
  <si>
    <t>Suzanne Lynch</t>
  </si>
  <si>
    <t>Matthew Williams</t>
  </si>
  <si>
    <t>Lake Rebecca</t>
  </si>
  <si>
    <t>Daryl Walker</t>
  </si>
  <si>
    <t>Allentown</t>
  </si>
  <si>
    <t>Denise Olsen</t>
  </si>
  <si>
    <t>Smithport</t>
  </si>
  <si>
    <t>Matthew Roberts</t>
  </si>
  <si>
    <t>Port Jimmyfurt</t>
  </si>
  <si>
    <t>Alexis Jordan</t>
  </si>
  <si>
    <t>Deborahfort</t>
  </si>
  <si>
    <t>Monique Jackson</t>
  </si>
  <si>
    <t>Emilychester</t>
  </si>
  <si>
    <t>Heather Hubbard</t>
  </si>
  <si>
    <t>Kyleside</t>
  </si>
  <si>
    <t>Sarah Smith</t>
  </si>
  <si>
    <t>North Kimberly</t>
  </si>
  <si>
    <t>Gail Mason</t>
  </si>
  <si>
    <t>Dixonfort</t>
  </si>
  <si>
    <t>Heather Hughes</t>
  </si>
  <si>
    <t>New Sierra</t>
  </si>
  <si>
    <t>Carla Peterson DDS</t>
  </si>
  <si>
    <t>South Vickie</t>
  </si>
  <si>
    <t>Rebecca Reynolds</t>
  </si>
  <si>
    <t>Lewisborough</t>
  </si>
  <si>
    <t>Natasha Davenport</t>
  </si>
  <si>
    <t>Grantmouth</t>
  </si>
  <si>
    <t>Andrew Chavez</t>
  </si>
  <si>
    <t>New Michaelstad</t>
  </si>
  <si>
    <t>Shannon Miller</t>
  </si>
  <si>
    <t>New Abigailville</t>
  </si>
  <si>
    <t>Kristen Juarez</t>
  </si>
  <si>
    <t>New Lisamouth</t>
  </si>
  <si>
    <t>Elaine Trevino</t>
  </si>
  <si>
    <t>West Elizabethberg</t>
  </si>
  <si>
    <t>Samuel Zavala</t>
  </si>
  <si>
    <t>Charlesport</t>
  </si>
  <si>
    <t>Dustin Lopez</t>
  </si>
  <si>
    <t>Port Derrickhaven</t>
  </si>
  <si>
    <t>Dennis Cook</t>
  </si>
  <si>
    <t>East Barbarashire</t>
  </si>
  <si>
    <t>Ryan Pierce</t>
  </si>
  <si>
    <t>Port Jennifershire</t>
  </si>
  <si>
    <t>Jamie Galvan</t>
  </si>
  <si>
    <t>Samanthachester</t>
  </si>
  <si>
    <t>Leah Rodriguez</t>
  </si>
  <si>
    <t>Kevin Hoffman</t>
  </si>
  <si>
    <t>North Matthew</t>
  </si>
  <si>
    <t>Ashley Burnett</t>
  </si>
  <si>
    <t>Robinsonberg</t>
  </si>
  <si>
    <t>Jason Maldonado</t>
  </si>
  <si>
    <t>Barbaraborough</t>
  </si>
  <si>
    <t>Daniel Estrada</t>
  </si>
  <si>
    <t>Port Allison</t>
  </si>
  <si>
    <t>Jennifer Lane</t>
  </si>
  <si>
    <t>Johnville</t>
  </si>
  <si>
    <t>Dr. Jared Lee III</t>
  </si>
  <si>
    <t>New Jack</t>
  </si>
  <si>
    <t>Andrew Bolton</t>
  </si>
  <si>
    <t>Lake Charlesfurt</t>
  </si>
  <si>
    <t>Laura Pearson</t>
  </si>
  <si>
    <t>Port Heatherchester</t>
  </si>
  <si>
    <t>Charles Wong</t>
  </si>
  <si>
    <t>Port Miguelchester</t>
  </si>
  <si>
    <t>Jill Harris</t>
  </si>
  <si>
    <t>East Paul</t>
  </si>
  <si>
    <t>Travis Kim III</t>
  </si>
  <si>
    <t>Fordton</t>
  </si>
  <si>
    <t>Jason Keith</t>
  </si>
  <si>
    <t>West Joshua</t>
  </si>
  <si>
    <t>Kendra Willis</t>
  </si>
  <si>
    <t>Kevinbury</t>
  </si>
  <si>
    <t>Tracey Nelson</t>
  </si>
  <si>
    <t>Walkerberg</t>
  </si>
  <si>
    <t>William Arnold</t>
  </si>
  <si>
    <t>Denise Barrett</t>
  </si>
  <si>
    <t>Julietown</t>
  </si>
  <si>
    <t>Douglas Pacheco</t>
  </si>
  <si>
    <t>Lake Tyler</t>
  </si>
  <si>
    <t>Erin Norris</t>
  </si>
  <si>
    <t>Bradleytown</t>
  </si>
  <si>
    <t>Eric Duran</t>
  </si>
  <si>
    <t>Heatherview</t>
  </si>
  <si>
    <t>Toni Cunningham</t>
  </si>
  <si>
    <t>Codyfort</t>
  </si>
  <si>
    <t>George Ruiz</t>
  </si>
  <si>
    <t>New Mathew</t>
  </si>
  <si>
    <t>Billy Cunningham</t>
  </si>
  <si>
    <t>Zachary Jones</t>
  </si>
  <si>
    <t>Higginsbury</t>
  </si>
  <si>
    <t>David Hull</t>
  </si>
  <si>
    <t>Martinezview</t>
  </si>
  <si>
    <t>David Wilson</t>
  </si>
  <si>
    <t>Kylieside</t>
  </si>
  <si>
    <t>Kimberly Sandoval</t>
  </si>
  <si>
    <t>Port Tracyborough</t>
  </si>
  <si>
    <t>Kevin Buckley</t>
  </si>
  <si>
    <t>Aaronstad</t>
  </si>
  <si>
    <t>Alyssa Davis</t>
  </si>
  <si>
    <t>Lake Joshuaburgh</t>
  </si>
  <si>
    <t>Christina Clark</t>
  </si>
  <si>
    <t>Bruce Barr</t>
  </si>
  <si>
    <t>West Courtney</t>
  </si>
  <si>
    <t>Arthur Santana</t>
  </si>
  <si>
    <t>Grayburgh</t>
  </si>
  <si>
    <t>Ryan Fisher</t>
  </si>
  <si>
    <t>Port Ericland</t>
  </si>
  <si>
    <t>Michael Martin</t>
  </si>
  <si>
    <t>Oliviaburgh</t>
  </si>
  <si>
    <t>Jerry Jackson</t>
  </si>
  <si>
    <t>Ramirezview</t>
  </si>
  <si>
    <t>Edward Barton</t>
  </si>
  <si>
    <t>Hoshire</t>
  </si>
  <si>
    <t>Crystal Graves</t>
  </si>
  <si>
    <t>New Timothyshire</t>
  </si>
  <si>
    <t>Shawn Lindsey</t>
  </si>
  <si>
    <t>North William</t>
  </si>
  <si>
    <t>Gina Medina</t>
  </si>
  <si>
    <t>Joseside</t>
  </si>
  <si>
    <t>Samuel Harris</t>
  </si>
  <si>
    <t>Lake Daisy</t>
  </si>
  <si>
    <t>Javier Schultz</t>
  </si>
  <si>
    <t>Lake Kathleenmouth</t>
  </si>
  <si>
    <t>Gail Johnson MD</t>
  </si>
  <si>
    <t>Port Elizabethtown</t>
  </si>
  <si>
    <t>Patrick Walsh</t>
  </si>
  <si>
    <t>North Haileyfort</t>
  </si>
  <si>
    <t>Amy Mccoy</t>
  </si>
  <si>
    <t>Lake Edwardstad</t>
  </si>
  <si>
    <t>Kathy Roberts</t>
  </si>
  <si>
    <t>Joseland</t>
  </si>
  <si>
    <t>Donna Boyd</t>
  </si>
  <si>
    <t>East Gregoryport</t>
  </si>
  <si>
    <t>John Hunter</t>
  </si>
  <si>
    <t>Johnsonton</t>
  </si>
  <si>
    <t>Jamie Fields</t>
  </si>
  <si>
    <t>West Jenniferview</t>
  </si>
  <si>
    <t>Bryce Gutierrez</t>
  </si>
  <si>
    <t>Williammouth</t>
  </si>
  <si>
    <t>Roberto Glover</t>
  </si>
  <si>
    <t>Blairside</t>
  </si>
  <si>
    <t>Daniel Ortiz</t>
  </si>
  <si>
    <t>Montgomerytown</t>
  </si>
  <si>
    <t>Derek Williams</t>
  </si>
  <si>
    <t>Port Peterhaven</t>
  </si>
  <si>
    <t>Deborah Quinn</t>
  </si>
  <si>
    <t>Nathan Lopez</t>
  </si>
  <si>
    <t>South Josephberg</t>
  </si>
  <si>
    <t>Elizabeth Jackson</t>
  </si>
  <si>
    <t>Rickeyburgh</t>
  </si>
  <si>
    <t>Bianca Bowen</t>
  </si>
  <si>
    <t>Lewisport</t>
  </si>
  <si>
    <t>Samantha Carter</t>
  </si>
  <si>
    <t>Moorestad</t>
  </si>
  <si>
    <t>Daryl Lowe</t>
  </si>
  <si>
    <t>Amyburgh</t>
  </si>
  <si>
    <t>Julie Parker</t>
  </si>
  <si>
    <t>Michellehaven</t>
  </si>
  <si>
    <t>Monica Richardson</t>
  </si>
  <si>
    <t>Port Toni</t>
  </si>
  <si>
    <t>Ronald Brown</t>
  </si>
  <si>
    <t>Benjaminton</t>
  </si>
  <si>
    <t>Christine Hubbard</t>
  </si>
  <si>
    <t>Jameshaven</t>
  </si>
  <si>
    <t>Barbara Chandler</t>
  </si>
  <si>
    <t>Port Curtis</t>
  </si>
  <si>
    <t>John Johns</t>
  </si>
  <si>
    <t>New Brandonborough</t>
  </si>
  <si>
    <t>Christina Robinson</t>
  </si>
  <si>
    <t>Schneiderbury</t>
  </si>
  <si>
    <t>Tina Hull</t>
  </si>
  <si>
    <t>Changmouth</t>
  </si>
  <si>
    <t>Shannon Maxwell</t>
  </si>
  <si>
    <t>North Rhondaborough</t>
  </si>
  <si>
    <t>Richard Rodriguez</t>
  </si>
  <si>
    <t>Port Carla</t>
  </si>
  <si>
    <t>Mark Jimenez</t>
  </si>
  <si>
    <t>Mackenzieville</t>
  </si>
  <si>
    <t>Jenna Lynch</t>
  </si>
  <si>
    <t>Denniston</t>
  </si>
  <si>
    <t>Bryce Fox</t>
  </si>
  <si>
    <t>Danielport</t>
  </si>
  <si>
    <t>Grace Johnson</t>
  </si>
  <si>
    <t>Port Wendy</t>
  </si>
  <si>
    <t>Jerry Rogers</t>
  </si>
  <si>
    <t>Joshua Shepard</t>
  </si>
  <si>
    <t>Jessica Burch</t>
  </si>
  <si>
    <t>New Heatherville</t>
  </si>
  <si>
    <t>Terri Golden</t>
  </si>
  <si>
    <t>New Nicolestad</t>
  </si>
  <si>
    <t>Seth Johnson</t>
  </si>
  <si>
    <t>Lake Stanley</t>
  </si>
  <si>
    <t>Christopher Robinson</t>
  </si>
  <si>
    <t>Brian Sims</t>
  </si>
  <si>
    <t>Colemanside</t>
  </si>
  <si>
    <t>Dr. Donna Mccarty</t>
  </si>
  <si>
    <t>East Kevinside</t>
  </si>
  <si>
    <t>Grace Young</t>
  </si>
  <si>
    <t>Becky Garcia</t>
  </si>
  <si>
    <t>Shannontown</t>
  </si>
  <si>
    <t>Lauren Brown MD</t>
  </si>
  <si>
    <t>Jennifer Harper</t>
  </si>
  <si>
    <t>Wangshire</t>
  </si>
  <si>
    <t>Maria Malone</t>
  </si>
  <si>
    <t>Davishaven</t>
  </si>
  <si>
    <t>Lauren Walsh</t>
  </si>
  <si>
    <t>East Mark</t>
  </si>
  <si>
    <t>Stacy Hudson</t>
  </si>
  <si>
    <t>East Pamela</t>
  </si>
  <si>
    <t>Charles Costa</t>
  </si>
  <si>
    <t>Elliottton</t>
  </si>
  <si>
    <t>Kara Sanders MD</t>
  </si>
  <si>
    <t>Comptontown</t>
  </si>
  <si>
    <t>Tommy Ramsey</t>
  </si>
  <si>
    <t>Kelly Sandoval</t>
  </si>
  <si>
    <t>Port Loriport</t>
  </si>
  <si>
    <t>Autumn Thomas</t>
  </si>
  <si>
    <t>Petersonside</t>
  </si>
  <si>
    <t>Kimberly Thomas</t>
  </si>
  <si>
    <t>Claytonside</t>
  </si>
  <si>
    <t>Mark Mclean</t>
  </si>
  <si>
    <t>Renee Edwards</t>
  </si>
  <si>
    <t>Tinaville</t>
  </si>
  <si>
    <t>Chase Matthews</t>
  </si>
  <si>
    <t>Melissaview</t>
  </si>
  <si>
    <t>Danny Smith</t>
  </si>
  <si>
    <t>Burkefurt</t>
  </si>
  <si>
    <t>Pamela Gordon</t>
  </si>
  <si>
    <t>North Elizabethmouth</t>
  </si>
  <si>
    <t>Anthony Wong</t>
  </si>
  <si>
    <t>West Crystalland</t>
  </si>
  <si>
    <t>Christopher Soto</t>
  </si>
  <si>
    <t>Amber Richardson</t>
  </si>
  <si>
    <t>Josephfort</t>
  </si>
  <si>
    <t>Christopher Klein</t>
  </si>
  <si>
    <t>Mcclurefurt</t>
  </si>
  <si>
    <t>Haley Peters</t>
  </si>
  <si>
    <t>Lake Moniquefort</t>
  </si>
  <si>
    <t>Tara Jones</t>
  </si>
  <si>
    <t>Andrewhaven</t>
  </si>
  <si>
    <t>Christina Chavez</t>
  </si>
  <si>
    <t>East Stephaniemouth</t>
  </si>
  <si>
    <t>Thomas Morales</t>
  </si>
  <si>
    <t>Stephensland</t>
  </si>
  <si>
    <t>Stephanie Martin</t>
  </si>
  <si>
    <t>North Carrietown</t>
  </si>
  <si>
    <t>Cynthia Palmer</t>
  </si>
  <si>
    <t>Davidfort</t>
  </si>
  <si>
    <t>Jermaine Vance</t>
  </si>
  <si>
    <t>Kurtshire</t>
  </si>
  <si>
    <t>Erica Thomas</t>
  </si>
  <si>
    <t>Carterton</t>
  </si>
  <si>
    <t>Sandra Ross</t>
  </si>
  <si>
    <t>East Rebeccafort</t>
  </si>
  <si>
    <t>Roy Fowler</t>
  </si>
  <si>
    <t>Shannonshire</t>
  </si>
  <si>
    <t>Debbie Arias</t>
  </si>
  <si>
    <t>Jacksonside</t>
  </si>
  <si>
    <t>Melissa Kim</t>
  </si>
  <si>
    <t>Delacruzbury</t>
  </si>
  <si>
    <t>Michael Flores</t>
  </si>
  <si>
    <t>West Jeremymouth</t>
  </si>
  <si>
    <t>Mallory Powell</t>
  </si>
  <si>
    <t>Kelly Aguirre</t>
  </si>
  <si>
    <t>West Kathyfurt</t>
  </si>
  <si>
    <t>Mark Murphy</t>
  </si>
  <si>
    <t>North Victoria</t>
  </si>
  <si>
    <t>Jillian Garcia</t>
  </si>
  <si>
    <t>Richardberg</t>
  </si>
  <si>
    <t>Kenneth Murphy</t>
  </si>
  <si>
    <t>Novakton</t>
  </si>
  <si>
    <t>Marcus Weaver</t>
  </si>
  <si>
    <t>East Davidton</t>
  </si>
  <si>
    <t>Crystal Wilkinson</t>
  </si>
  <si>
    <t>Proctorview</t>
  </si>
  <si>
    <t>Larry Mathis</t>
  </si>
  <si>
    <t>Lake Christopherstad</t>
  </si>
  <si>
    <t>Tonya Potter</t>
  </si>
  <si>
    <t>Lake Dianaland</t>
  </si>
  <si>
    <t>Jennifer Myers</t>
  </si>
  <si>
    <t>New Kayla</t>
  </si>
  <si>
    <t>James Miller</t>
  </si>
  <si>
    <t>Lake Courtneymouth</t>
  </si>
  <si>
    <t>Joshua Vincent MD</t>
  </si>
  <si>
    <t>Wagnerberg</t>
  </si>
  <si>
    <t>Kathleen Brady</t>
  </si>
  <si>
    <t>Erintown</t>
  </si>
  <si>
    <t>Rebecca Wood</t>
  </si>
  <si>
    <t>Nicolestad</t>
  </si>
  <si>
    <t>Jesus Johnson</t>
  </si>
  <si>
    <t>East Joshuaside</t>
  </si>
  <si>
    <t>Debra White</t>
  </si>
  <si>
    <t>Murrayfurt</t>
  </si>
  <si>
    <t>Lisa Lopez</t>
  </si>
  <si>
    <t>Lake Stephanie</t>
  </si>
  <si>
    <t>Rachel Greer</t>
  </si>
  <si>
    <t>Port Shelia</t>
  </si>
  <si>
    <t>Bobby Becker</t>
  </si>
  <si>
    <t>Jacobmouth</t>
  </si>
  <si>
    <t>Wayne Jackson</t>
  </si>
  <si>
    <t>Port Heather</t>
  </si>
  <si>
    <t>Jacqueline Walker</t>
  </si>
  <si>
    <t>New Jenniferstad</t>
  </si>
  <si>
    <t>Tina Herring</t>
  </si>
  <si>
    <t>Alexismouth</t>
  </si>
  <si>
    <t>Courtney Lee</t>
  </si>
  <si>
    <t>Lake Patriciashire</t>
  </si>
  <si>
    <t>Carmen Gonzalez</t>
  </si>
  <si>
    <t>Brandiview</t>
  </si>
  <si>
    <t>Gabriel Murphy</t>
  </si>
  <si>
    <t>East Jessicastad</t>
  </si>
  <si>
    <t>Jillian Stewart</t>
  </si>
  <si>
    <t>New Josephberg</t>
  </si>
  <si>
    <t>Hector Bryant</t>
  </si>
  <si>
    <t>Lake Brittanyfort</t>
  </si>
  <si>
    <t>Adriana Ward</t>
  </si>
  <si>
    <t>Taylor Grant</t>
  </si>
  <si>
    <t>Butlermouth</t>
  </si>
  <si>
    <t>Diana Huffman</t>
  </si>
  <si>
    <t>South Janice</t>
  </si>
  <si>
    <t>Gina Chapman</t>
  </si>
  <si>
    <t>Lauramouth</t>
  </si>
  <si>
    <t>Tyler Lozano</t>
  </si>
  <si>
    <t>Port Heathermouth</t>
  </si>
  <si>
    <t>Amanda Solis</t>
  </si>
  <si>
    <t>Danielleshire</t>
  </si>
  <si>
    <t>Shawn Ware</t>
  </si>
  <si>
    <t>Port Markmouth</t>
  </si>
  <si>
    <t>John Boyd</t>
  </si>
  <si>
    <t>Petersburgh</t>
  </si>
  <si>
    <t>Joseph Jensen</t>
  </si>
  <si>
    <t>Willisfort</t>
  </si>
  <si>
    <t>Steven Mccormick</t>
  </si>
  <si>
    <t>Dawnberg</t>
  </si>
  <si>
    <t>Victoria Padilla</t>
  </si>
  <si>
    <t>Keithland</t>
  </si>
  <si>
    <t>Rhonda Rodriguez</t>
  </si>
  <si>
    <t>Ryan Smith</t>
  </si>
  <si>
    <t>Claireton</t>
  </si>
  <si>
    <t>Kelly Perry</t>
  </si>
  <si>
    <t>Mooreside</t>
  </si>
  <si>
    <t>Pamela Powell</t>
  </si>
  <si>
    <t>Lake Stephenburgh</t>
  </si>
  <si>
    <t>Paul Cox</t>
  </si>
  <si>
    <t>Timothyfurt</t>
  </si>
  <si>
    <t>Luke Dixon</t>
  </si>
  <si>
    <t>Reyesside</t>
  </si>
  <si>
    <t>Joshua White</t>
  </si>
  <si>
    <t>Hornefort</t>
  </si>
  <si>
    <t>Christina Cobb</t>
  </si>
  <si>
    <t>New Diana</t>
  </si>
  <si>
    <t>Christopher Moses</t>
  </si>
  <si>
    <t>Lake Robert</t>
  </si>
  <si>
    <t>Mary Richards</t>
  </si>
  <si>
    <t>Joelside</t>
  </si>
  <si>
    <t>Jack Brandt</t>
  </si>
  <si>
    <t>West Angela</t>
  </si>
  <si>
    <t>Nathaniel Ford</t>
  </si>
  <si>
    <t>Robinsonfurt</t>
  </si>
  <si>
    <t>Debbie King</t>
  </si>
  <si>
    <t>Carrville</t>
  </si>
  <si>
    <t>Shannon Gonzales</t>
  </si>
  <si>
    <t>New Grant</t>
  </si>
  <si>
    <t>Melvin Carlson</t>
  </si>
  <si>
    <t>Higginsborough</t>
  </si>
  <si>
    <t>Trevor Bautista</t>
  </si>
  <si>
    <t>East Edward</t>
  </si>
  <si>
    <t>Richard Roy</t>
  </si>
  <si>
    <t>East Benjamin</t>
  </si>
  <si>
    <t>Robert Parks MD</t>
  </si>
  <si>
    <t>Baileyborough</t>
  </si>
  <si>
    <t>David Nichols</t>
  </si>
  <si>
    <t>Port Maryton</t>
  </si>
  <si>
    <t>Cynthia Hughes</t>
  </si>
  <si>
    <t>Port Ashleyshire</t>
  </si>
  <si>
    <t>Russell Martin</t>
  </si>
  <si>
    <t>Carol Mcintosh</t>
  </si>
  <si>
    <t>Sean Dixon</t>
  </si>
  <si>
    <t>New Madelinetown</t>
  </si>
  <si>
    <t>Kevin Davis</t>
  </si>
  <si>
    <t>East Raymondberg</t>
  </si>
  <si>
    <t>Sean Bradshaw</t>
  </si>
  <si>
    <t>Ortizberg</t>
  </si>
  <si>
    <t>Megan Wilson</t>
  </si>
  <si>
    <t>Powellberg</t>
  </si>
  <si>
    <t>Amanda Taylor</t>
  </si>
  <si>
    <t>Dorothyhaven</t>
  </si>
  <si>
    <t>Nicole Lewis</t>
  </si>
  <si>
    <t>Ashleychester</t>
  </si>
  <si>
    <t>Mary Gibson</t>
  </si>
  <si>
    <t>Kimberlyville</t>
  </si>
  <si>
    <t>Duane Clarke</t>
  </si>
  <si>
    <t>Garrettberg</t>
  </si>
  <si>
    <t>Vicki Hernandez</t>
  </si>
  <si>
    <t>Nicholastown</t>
  </si>
  <si>
    <t>Hannah James PhD</t>
  </si>
  <si>
    <t>Port Sarahshire</t>
  </si>
  <si>
    <t>Alan Davis DVM</t>
  </si>
  <si>
    <t>East Joshuachester</t>
  </si>
  <si>
    <t>Jasmine Farmer</t>
  </si>
  <si>
    <t>East Meghan</t>
  </si>
  <si>
    <t>William Conrad</t>
  </si>
  <si>
    <t>Martinezburgh</t>
  </si>
  <si>
    <t>Antonio George Jr.</t>
  </si>
  <si>
    <t>South Ronaldshire</t>
  </si>
  <si>
    <t>Scott Schmidt</t>
  </si>
  <si>
    <t>West Luisburgh</t>
  </si>
  <si>
    <t>Anthony Smith</t>
  </si>
  <si>
    <t>Rebeccafurt</t>
  </si>
  <si>
    <t>Jay Buchanan</t>
  </si>
  <si>
    <t>West Scottstad</t>
  </si>
  <si>
    <t>Theresa King</t>
  </si>
  <si>
    <t>East Maryview</t>
  </si>
  <si>
    <t>Justin Hammond</t>
  </si>
  <si>
    <t>North Jaredchester</t>
  </si>
  <si>
    <t>Phillip Davis</t>
  </si>
  <si>
    <t>South Zachary</t>
  </si>
  <si>
    <t>Meagan West</t>
  </si>
  <si>
    <t>Craig Williams</t>
  </si>
  <si>
    <t>Garciaton</t>
  </si>
  <si>
    <t>Wayne Hess</t>
  </si>
  <si>
    <t>Michaelhaven</t>
  </si>
  <si>
    <t>James Wilson</t>
  </si>
  <si>
    <t>North Andre</t>
  </si>
  <si>
    <t>Kelsey Kelly</t>
  </si>
  <si>
    <t>Warnerview</t>
  </si>
  <si>
    <t>Aaron Gonzalez</t>
  </si>
  <si>
    <t>New Richard</t>
  </si>
  <si>
    <t>Jessica Hernandez</t>
  </si>
  <si>
    <t>Anthony Adams</t>
  </si>
  <si>
    <t>Colemanport</t>
  </si>
  <si>
    <t>Barry Wilson</t>
  </si>
  <si>
    <t>Chapmanmouth</t>
  </si>
  <si>
    <t>Matthew Richards</t>
  </si>
  <si>
    <t>Port Jenniferview</t>
  </si>
  <si>
    <t>Michelle Stewart</t>
  </si>
  <si>
    <t>North Jonathan</t>
  </si>
  <si>
    <t>Ronald Underwood</t>
  </si>
  <si>
    <t>Loganhaven</t>
  </si>
  <si>
    <t>Christina Garza</t>
  </si>
  <si>
    <t>Port Robertside</t>
  </si>
  <si>
    <t>Tina Hernandez</t>
  </si>
  <si>
    <t>Mitchellton</t>
  </si>
  <si>
    <t>David Thompson</t>
  </si>
  <si>
    <t>Samuelborough</t>
  </si>
  <si>
    <t>Lauren Barr</t>
  </si>
  <si>
    <t>Romanland</t>
  </si>
  <si>
    <t>Anthony Murray</t>
  </si>
  <si>
    <t>North Christopher</t>
  </si>
  <si>
    <t>Mary Green</t>
  </si>
  <si>
    <t>East Mikeshire</t>
  </si>
  <si>
    <t>Penny West</t>
  </si>
  <si>
    <t>Laurie Roberts</t>
  </si>
  <si>
    <t>Port Loriland</t>
  </si>
  <si>
    <t>Caitlyn Martinez</t>
  </si>
  <si>
    <t>Alejandrabury</t>
  </si>
  <si>
    <t>Adam Thompson</t>
  </si>
  <si>
    <t>West Amberchester</t>
  </si>
  <si>
    <t>Sandra White</t>
  </si>
  <si>
    <t>South Anna</t>
  </si>
  <si>
    <t>Matthew Miller</t>
  </si>
  <si>
    <t>New Patricia</t>
  </si>
  <si>
    <t>Kristin Wagner</t>
  </si>
  <si>
    <t>Barberfurt</t>
  </si>
  <si>
    <t>Andrew Gomez</t>
  </si>
  <si>
    <t>West Rebeccaland</t>
  </si>
  <si>
    <t>Johnny Arnold</t>
  </si>
  <si>
    <t>East Tony</t>
  </si>
  <si>
    <t>Richard Stevens</t>
  </si>
  <si>
    <t>Whiteton</t>
  </si>
  <si>
    <t>Leonard Reyes</t>
  </si>
  <si>
    <t>Erik Brown</t>
  </si>
  <si>
    <t>East Annville</t>
  </si>
  <si>
    <t>Mrs. Olivia Petersen</t>
  </si>
  <si>
    <t>Toni Osborne</t>
  </si>
  <si>
    <t>Amandaside</t>
  </si>
  <si>
    <t>Jeffrey Mercer</t>
  </si>
  <si>
    <t>Mendozahaven</t>
  </si>
  <si>
    <t>Alex Whitaker</t>
  </si>
  <si>
    <t>West Charlesville</t>
  </si>
  <si>
    <t>Carla Hoover</t>
  </si>
  <si>
    <t>Stephanie Peterson</t>
  </si>
  <si>
    <t>Gary Greer</t>
  </si>
  <si>
    <t>East Michaelview</t>
  </si>
  <si>
    <t>Luis Patterson</t>
  </si>
  <si>
    <t>Port Jamesport</t>
  </si>
  <si>
    <t>Ryan Harrison</t>
  </si>
  <si>
    <t>Mosleyland</t>
  </si>
  <si>
    <t>Laura Payne</t>
  </si>
  <si>
    <t>New Ambertown</t>
  </si>
  <si>
    <t>Devon Ramos</t>
  </si>
  <si>
    <t>Blackville</t>
  </si>
  <si>
    <t>Jay Alvarado</t>
  </si>
  <si>
    <t>Lake Theresa</t>
  </si>
  <si>
    <t>Emily Hunter</t>
  </si>
  <si>
    <t>Haleyland</t>
  </si>
  <si>
    <t>Erik Keller</t>
  </si>
  <si>
    <t>North Christinaburgh</t>
  </si>
  <si>
    <t>Danielle Mcfarland DVM</t>
  </si>
  <si>
    <t>West Danielfort</t>
  </si>
  <si>
    <t>Kyle Mullins</t>
  </si>
  <si>
    <t>Kerry Murphy</t>
  </si>
  <si>
    <t>South Toddton</t>
  </si>
  <si>
    <t>Chad Moreno</t>
  </si>
  <si>
    <t>Haroldport</t>
  </si>
  <si>
    <t>Natalie Hawkins</t>
  </si>
  <si>
    <t>Reynoldschester</t>
  </si>
  <si>
    <t>Adrian Gibbs</t>
  </si>
  <si>
    <t>Leroystad</t>
  </si>
  <si>
    <t>Alyssa Hayes</t>
  </si>
  <si>
    <t>Kaylabury</t>
  </si>
  <si>
    <t>Carlos Vincent</t>
  </si>
  <si>
    <t>Jonathanfurt</t>
  </si>
  <si>
    <t>Jason Haynes</t>
  </si>
  <si>
    <t>North Randymouth</t>
  </si>
  <si>
    <t>Timothy Coleman</t>
  </si>
  <si>
    <t>Stanley Benson</t>
  </si>
  <si>
    <t>Collinsberg</t>
  </si>
  <si>
    <t>Brian Thompson</t>
  </si>
  <si>
    <t>North Nathanhaven</t>
  </si>
  <si>
    <t>Wendy Smith</t>
  </si>
  <si>
    <t>North Thomashaven</t>
  </si>
  <si>
    <t>Bethany Baxter MD</t>
  </si>
  <si>
    <t>Scotttown</t>
  </si>
  <si>
    <t>Jennifer Baker MD</t>
  </si>
  <si>
    <t>Jonesville</t>
  </si>
  <si>
    <t>Crystal Wolf</t>
  </si>
  <si>
    <t>Petersonchester</t>
  </si>
  <si>
    <t>Sharon Patel</t>
  </si>
  <si>
    <t>Spencerburgh</t>
  </si>
  <si>
    <t>Carl Powers</t>
  </si>
  <si>
    <t>Michael Patterson</t>
  </si>
  <si>
    <t>Deniseport</t>
  </si>
  <si>
    <t>Sarah Jones</t>
  </si>
  <si>
    <t>East Eric</t>
  </si>
  <si>
    <t>Nancy Rowland</t>
  </si>
  <si>
    <t>South Samuelfurt</t>
  </si>
  <si>
    <t>Meghan Jackson</t>
  </si>
  <si>
    <t>Stephanie Gomez</t>
  </si>
  <si>
    <t>Lake Amyland</t>
  </si>
  <si>
    <t>Miguel Lee</t>
  </si>
  <si>
    <t>Lynchbury</t>
  </si>
  <si>
    <t>Brianna Hanson</t>
  </si>
  <si>
    <t>Sharon French</t>
  </si>
  <si>
    <t>New Cesarfurt</t>
  </si>
  <si>
    <t>Taylor Kirby</t>
  </si>
  <si>
    <t>Vanessaview</t>
  </si>
  <si>
    <t>Jeffrey Petersen</t>
  </si>
  <si>
    <t>Port Amanda</t>
  </si>
  <si>
    <t>Manuel Cole</t>
  </si>
  <si>
    <t>North Darlenemouth</t>
  </si>
  <si>
    <t>Joshua Horne</t>
  </si>
  <si>
    <t>Morganfurt</t>
  </si>
  <si>
    <t>Brittney Tanner</t>
  </si>
  <si>
    <t>West Victoriamouth</t>
  </si>
  <si>
    <t>Ashley Franco</t>
  </si>
  <si>
    <t>West Nicholas</t>
  </si>
  <si>
    <t>Tracey Page</t>
  </si>
  <si>
    <t>West David</t>
  </si>
  <si>
    <t>Carla Young</t>
  </si>
  <si>
    <t>East Theresaside</t>
  </si>
  <si>
    <t>Brooke Keith</t>
  </si>
  <si>
    <t>East Zachary</t>
  </si>
  <si>
    <t>Christy Thomas</t>
  </si>
  <si>
    <t>Port Darylburgh</t>
  </si>
  <si>
    <t>Michael Cruz</t>
  </si>
  <si>
    <t>Grayton</t>
  </si>
  <si>
    <t>Shawna Gillespie</t>
  </si>
  <si>
    <t>Espinozaville</t>
  </si>
  <si>
    <t>Chelsey Reyes</t>
  </si>
  <si>
    <t>West Bryanbury</t>
  </si>
  <si>
    <t>Angela Dixon</t>
  </si>
  <si>
    <t>Port Timothychester</t>
  </si>
  <si>
    <t>Sean Chapman</t>
  </si>
  <si>
    <t>North Adamtown</t>
  </si>
  <si>
    <t>Robert Ramirez</t>
  </si>
  <si>
    <t>Steven Price</t>
  </si>
  <si>
    <t>Christophertown</t>
  </si>
  <si>
    <t>Michelle Padilla</t>
  </si>
  <si>
    <t>West Aaron</t>
  </si>
  <si>
    <t>Lucas Nielsen</t>
  </si>
  <si>
    <t>Kelseyfort</t>
  </si>
  <si>
    <t>Raymond Wolf</t>
  </si>
  <si>
    <t>Barnesborough</t>
  </si>
  <si>
    <t>Nicholas Cunningham</t>
  </si>
  <si>
    <t>Mooremouth</t>
  </si>
  <si>
    <t>Kristin Meyer</t>
  </si>
  <si>
    <t>South Allisonfort</t>
  </si>
  <si>
    <t>Kevin White</t>
  </si>
  <si>
    <t>Anthonyshire</t>
  </si>
  <si>
    <t>Cynthia Johnson</t>
  </si>
  <si>
    <t>East Ryanstad</t>
  </si>
  <si>
    <t>Sandra Lopez</t>
  </si>
  <si>
    <t>West Tiffanyside</t>
  </si>
  <si>
    <t>Teresa Bowers</t>
  </si>
  <si>
    <t>Matthewmouth</t>
  </si>
  <si>
    <t>Michael Lambert</t>
  </si>
  <si>
    <t>South Kenneth</t>
  </si>
  <si>
    <t>Rebecca Newman</t>
  </si>
  <si>
    <t>Christopher Morrison</t>
  </si>
  <si>
    <t>Cookshire</t>
  </si>
  <si>
    <t>Sierra Gentry</t>
  </si>
  <si>
    <t>Jenniferstad</t>
  </si>
  <si>
    <t>Hannah Carter</t>
  </si>
  <si>
    <t>Basston</t>
  </si>
  <si>
    <t>Ryan Thomas</t>
  </si>
  <si>
    <t>Tylertown</t>
  </si>
  <si>
    <t>James Schaefer</t>
  </si>
  <si>
    <t>Robertton</t>
  </si>
  <si>
    <t>Diana Lin</t>
  </si>
  <si>
    <t>New Frank</t>
  </si>
  <si>
    <t>Brandon Meyer</t>
  </si>
  <si>
    <t>East Haley</t>
  </si>
  <si>
    <t>Jason Price</t>
  </si>
  <si>
    <t>Adamland</t>
  </si>
  <si>
    <t>Nicole Brown</t>
  </si>
  <si>
    <t>New Nathantown</t>
  </si>
  <si>
    <t xml:space="preserve"> Notable Pattern Points Correlation</t>
  </si>
  <si>
    <t xml:space="preserve"> Notable Pattern Income Correlation</t>
  </si>
  <si>
    <t xml:space="preserve"> Notable Pattern Loan Amount Correlation</t>
  </si>
  <si>
    <t xml:space="preserve"> Notable Pattern Credit Score Correlation</t>
  </si>
  <si>
    <t>Figures</t>
  </si>
  <si>
    <t>NOTABLE PARTTERN FROM THE DATASET</t>
  </si>
  <si>
    <t>SUMMARY OF THE DATASET</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</si>
  <si>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</si>
  <si>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</si>
  <si>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</si>
  <si>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</si>
  <si>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</si>
  <si>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</si>
  <si>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</si>
  <si>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</si>
  <si>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</si>
  <si>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</si>
  <si>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</si>
  <si>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</si>
  <si>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</si>
  <si>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</si>
  <si>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</si>
  <si>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</si>
  <si>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DESCRIPTIVE ANALYSIS</t>
  </si>
  <si>
    <t>FIGURE1</t>
  </si>
  <si>
    <t>FIGURE2</t>
  </si>
  <si>
    <t>FIGURE3</t>
  </si>
  <si>
    <t>FIGURE4</t>
  </si>
  <si>
    <t>FIGURE5</t>
  </si>
  <si>
    <t>Row Labels</t>
  </si>
  <si>
    <t>300-450 (Poor)</t>
  </si>
  <si>
    <t>451-600 (Fair)</t>
  </si>
  <si>
    <t>601-750 (Good)</t>
  </si>
  <si>
    <t>751-850 (Excellent)</t>
  </si>
  <si>
    <t>Grand Total</t>
  </si>
  <si>
    <t>FALSE</t>
  </si>
  <si>
    <t>TRUE</t>
  </si>
  <si>
    <t>Sum of Is Approved</t>
  </si>
  <si>
    <t>Partterns  For The Credit Score</t>
  </si>
  <si>
    <t>Sum of Points</t>
  </si>
  <si>
    <t>Sum of Years_Employed</t>
  </si>
  <si>
    <t>Sum of Income</t>
  </si>
  <si>
    <t>Sum of Loan_Amount</t>
  </si>
  <si>
    <t>loan approved</t>
  </si>
  <si>
    <t>Names</t>
  </si>
  <si>
    <t>LOAN APPROVAL DATASET - COMPREHENSIVE INSIGHTS &amp; ANALYSIS</t>
  </si>
  <si>
    <t>1. APPROVAL RATE SUMMARY</t>
  </si>
  <si>
    <t>Overall Approval Rate:</t>
  </si>
  <si>
    <t>Total Applications:</t>
  </si>
  <si>
    <t>Approved Loans:</t>
  </si>
  <si>
    <t>Rejected Loans:</t>
  </si>
  <si>
    <t>Key Finding:</t>
  </si>
  <si>
    <t>Less than half of all applications are approved, indicating a selective lending process.</t>
  </si>
  <si>
    <t>2. NOTABLE PATTERNS IN THE DATASET</t>
  </si>
  <si>
    <t>PATTERN 1 : Points Score - THE Dominant Factor</t>
  </si>
  <si>
    <t>Correlation Strength:</t>
  </si>
  <si>
    <t>0.821 (Strongest predictor)</t>
  </si>
  <si>
    <t>Pattern:</t>
  </si>
  <si>
    <t>Clear progression from very low approval (&lt;10%) at 0-30 points to very high approval (80%+) at 61+ points</t>
  </si>
  <si>
    <t>Insight:</t>
  </si>
  <si>
    <t>Points appear to be a composite internal scoring system that almost guarantees approval above 60 points</t>
  </si>
  <si>
    <t>PATTERN 2 : Credit Score - Critical Success Factor</t>
  </si>
  <si>
    <t>0.716 (Second strongest predictor)</t>
  </si>
  <si>
    <t>Average (Approved):</t>
  </si>
  <si>
    <t>Average (Rejected):</t>
  </si>
  <si>
    <t>Difference:</t>
  </si>
  <si>
    <t>232 points</t>
  </si>
  <si>
    <t>Poor (0-450): &lt;10% approval | Fair (451-600): 20-30% | Good (601-750): 60-70% | Excellent (751-850): 85%+</t>
  </si>
  <si>
    <t>Credit score above 700 dramatically improves approval odds. Below 600 significantly hurts chances.</t>
  </si>
  <si>
    <t>PATTERN 3: Income - Surprisingly Weak Impact</t>
  </si>
  <si>
    <t>0.238 (Weak predictor)</t>
  </si>
  <si>
    <t>Approval rates remain relatively flat across all income brackets ($50K to $125K+)</t>
  </si>
  <si>
    <t>COUNTERINTUITIVE - Earning $125K+ doesn't significantly improve approval vs earning $50K</t>
  </si>
  <si>
    <t>Lenders prioritize creditworthiness and payment history over earning power</t>
  </si>
  <si>
    <t>PATTERN 4: Loan Amount - Slight Negative Impact</t>
  </si>
  <si>
    <t>-0.158 (Weak negative correlation)</t>
  </si>
  <si>
    <t>Higher loan amounts slightly reduce approval probability</t>
  </si>
  <si>
    <t>Asking for more money makes lenders more cautious, but the effect is minimal</t>
  </si>
  <si>
    <t>3. DOES CREDIT SCORE AFFECT APPROVAL RATE?</t>
  </si>
  <si>
    <t>Answer:</t>
  </si>
  <si>
    <t>YES - Credit score has a MASSIVE effect on approval rates!</t>
  </si>
  <si>
    <t>Evidence:</t>
  </si>
  <si>
    <t>• Correlation of 0.716 (very strong positive relationship)</t>
  </si>
  <si>
    <t>• 232-point difference between approved (704) vs rejected (472) applicants</t>
  </si>
  <si>
    <t>• Dramatic approval rate progression across credit categories</t>
  </si>
  <si>
    <t>• Second-strongest predictor after Points</t>
  </si>
  <si>
    <t>Conclusion:</t>
  </si>
  <si>
    <t>Credit score is absolutely critical. It's one of the top 2 factors determining loan approval.</t>
  </si>
  <si>
    <t>4. DOES YEARS OF EMPLOYMENT HAVE SIGNIFICANCE?</t>
  </si>
  <si>
    <t>YES - Years of employment has MODERATE significance on loan approval</t>
  </si>
  <si>
    <t>• Approved applicants average 21.8 years employed</t>
  </si>
  <si>
    <t>• Rejected applicants average 19.4 years employed</t>
  </si>
  <si>
    <t>• 2.4 year difference shows employment stability matters</t>
  </si>
  <si>
    <t>• General upward trend in approval rates with more years employed</t>
  </si>
  <si>
    <t>However:</t>
  </si>
  <si>
    <t>The impact is much less dramatic than Credit Score or Points</t>
  </si>
  <si>
    <t>Interpretation:</t>
  </si>
  <si>
    <t>Employment history shows stability and reliability, but won't save you if credit is poor</t>
  </si>
  <si>
    <t>5. OTHER NOTABLE INSIGHTS</t>
  </si>
  <si>
    <t>INSIGHT 1: Risk-Based Lending Model</t>
  </si>
  <si>
    <t>Finding:</t>
  </si>
  <si>
    <t>This dataset reveals a clear risk-based lending approach</t>
  </si>
  <si>
    <t>Past financial behavior (Credit Score, Points) weighted far more heavily than current capacity (Income)</t>
  </si>
  <si>
    <t>INSIGHT 2: Points System is King</t>
  </si>
  <si>
    <t>The mysterious 'Points' metric is the single best approval predictor</t>
  </si>
  <si>
    <t>Theory:</t>
  </si>
  <si>
    <t>Points likely combine multiple risk factors into one composite score</t>
  </si>
  <si>
    <t>Impact:</t>
  </si>
  <si>
    <t>If you could only improve ONE thing to get approved, improve your Points score</t>
  </si>
  <si>
    <t>INSIGHT 3: Income Paradox</t>
  </si>
  <si>
    <t>High earners don't get significantly better approval rates</t>
  </si>
  <si>
    <t>Why:</t>
  </si>
  <si>
    <t>Lenders care more about 'Will you pay?' than 'Can you pay?'</t>
  </si>
  <si>
    <t>Implication:</t>
  </si>
  <si>
    <t>A $50K earner with excellent credit beats a $125K earner with poor credit</t>
  </si>
  <si>
    <t>INSIGHT 4: The 600/700 Credit Score Thresholds</t>
  </si>
  <si>
    <t>There appear to be critical thresholds at credit scores 600 and 700</t>
  </si>
  <si>
    <t>Below 600:</t>
  </si>
  <si>
    <t>Approval odds drop significantly</t>
  </si>
  <si>
    <t>Above 700:</t>
  </si>
  <si>
    <t>Approval odds improve dramatically</t>
  </si>
  <si>
    <t>Recommendation:</t>
  </si>
  <si>
    <t>Focus on getting credit score above these thresholds</t>
  </si>
  <si>
    <t>INSIGHT 5: Employment Stability Adds Credibility</t>
  </si>
  <si>
    <t>While not the strongest factor, longer employment history helps</t>
  </si>
  <si>
    <t>Average approved:</t>
  </si>
  <si>
    <t>21.8 years vs 19.4 years for rejected</t>
  </si>
  <si>
    <t>Shows consistency and reduces perceived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</si>
</sst>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9" formatCode="#,##0.0000"/>
  </numFmts>
  <fonts count="5" x14ac:knownFonts="1">
    <font>
      <sz val="11"/>
      <color theme="1"/>
      <name val="Calibri"/>
      <family val="2"/>
      <scheme val="minor"/>
    </font>
    <font>
      <i/>
      <sz val="11"/>
      <color theme="1"/>
      <name val="Calibri"/>
      <family val="2"/>
      <scheme val="minor"/>
    </font>
    <font>
      <b/>
      <sz val="11"/>
      <color theme="8"/>
      <name val="Calibri"/>
      <family val="2"/>
      <scheme val="minor"/>
    </font>
    <font>
      <sz val="11"/>
      <color theme="8"/>
      <name val="Calibri"/>
      <family val="2"/>
      <scheme val="minor"/>
    </font>
    <font>
      <b/>
      <sz val="11"/>
      <color theme="1" tint="0.249977111117893"/>
      <name val="Calibri"/>
      <family val="2"/>
      <scheme val="minor"/>
    </font>
  </fonts>
  <fills count="3">
    <fill>
      <patternFill patternType="none"/>
    </fill>
    <fill>
      <patternFill patternType="gray125"/>
    </fill>
    <fill>
      <patternFill patternType="solid">
        <fgColor theme="4"/>
        <bgColor indexed="64"/>
      </patternFill>
    </fill>
  </fills>
  <borders count="11">
    <border>
      <left/>
      <right/>
      <top/>
      <bottom/>
      <diagonal/>
    </border>
    <border>
      <left/>
      <right/>
      <top style="medium">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2">
    <xf numFmtId="0" fontId="0" fillId="0" borderId="0" xfId="0"/>
    <xf numFmtId="164" fontId="0" fillId="0" borderId="0" xfId="0" applyNumberFormat="1"/>
    <xf numFmtId="0" fontId="0" fillId="0" borderId="0" xfId="0" applyFill="1" applyBorder="1" applyAlignment="1"/>
    <xf numFmtId="0" fontId="1" fillId="0"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3" fillId="0" borderId="0" xfId="0" applyFont="1"/>
    <xf numFmtId="169" fontId="4" fillId="0" borderId="0" xfId="0" applyNumberFormat="1" applyFont="1"/>
    <xf numFmtId="3" fontId="4" fillId="0" borderId="0" xfId="0" applyNumberFormat="1" applyFont="1"/>
    <xf numFmtId="0" fontId="4" fillId="0" borderId="0" xfId="0" applyFont="1"/>
    <xf numFmtId="0" fontId="0" fillId="2" borderId="0" xfId="0" applyFill="1"/>
  </cellXfs>
  <cellStyles count="1">
    <cellStyle name="Normal" xfId="0" builtinId="0"/>
  </cellStyles>
  <dxfs count="30">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thin">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thin">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onnections" Target="connection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2.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Assesment Table.xlsx]Sheet4!PivotTable3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Sheet4!$A$3</c:f>
              <c:strCache>
                <c:ptCount val="1"/>
                <c:pt idx="0">
                  <c:v>Sum of Points</c:v>
                </c:pt>
              </c:strCache>
            </c:strRef>
          </c:tx>
          <c:spPr>
            <a:solidFill>
              <a:schemeClr val="accent1"/>
            </a:solidFill>
            <a:ln>
              <a:noFill/>
            </a:ln>
            <a:effectLst/>
          </c:spPr>
          <c:invertIfNegative val="0"/>
          <c:cat>
            <c:strRef>
              <c:f>Sheet4!$A$4</c:f>
              <c:strCache>
                <c:ptCount val="1"/>
                <c:pt idx="0">
                  <c:v>Total</c:v>
                </c:pt>
              </c:strCache>
            </c:strRef>
          </c:cat>
          <c:val>
            <c:numRef>
              <c:f>Sheet4!$A$4</c:f>
              <c:numCache>
                <c:formatCode>General</c:formatCode>
                <c:ptCount val="1"/>
                <c:pt idx="0">
                  <c:v>113360</c:v>
                </c:pt>
              </c:numCache>
            </c:numRef>
          </c:val>
          <c:extLst>
            <c:ext xmlns:c16="http://schemas.microsoft.com/office/drawing/2014/chart" uri="{C3380CC4-5D6E-409C-BE32-E72D297353CC}">
              <c16:uniqueId val="{00000001-996C-40FC-B7FA-AE24E235434C}"/>
            </c:ext>
          </c:extLst>
        </c:ser>
        <c:ser>
          <c:idx val="1"/>
          <c:order val="1"/>
          <c:tx>
            <c:strRef>
              <c:f>Sheet4!$B$3</c:f>
              <c:strCache>
                <c:ptCount val="1"/>
                <c:pt idx="0">
                  <c:v>Sum of Years_Employed</c:v>
                </c:pt>
              </c:strCache>
            </c:strRef>
          </c:tx>
          <c:spPr>
            <a:solidFill>
              <a:schemeClr val="accent2"/>
            </a:solidFill>
            <a:ln>
              <a:noFill/>
            </a:ln>
            <a:effectLst/>
          </c:spPr>
          <c:invertIfNegative val="0"/>
          <c:cat>
            <c:strRef>
              <c:f>Sheet4!$A$4</c:f>
              <c:strCache>
                <c:ptCount val="1"/>
                <c:pt idx="0">
                  <c:v>Total</c:v>
                </c:pt>
              </c:strCache>
            </c:strRef>
          </c:cat>
          <c:val>
            <c:numRef>
              <c:f>Sheet4!$B$4</c:f>
              <c:numCache>
                <c:formatCode>General</c:formatCode>
                <c:ptCount val="1"/>
                <c:pt idx="0">
                  <c:v>40882</c:v>
                </c:pt>
              </c:numCache>
            </c:numRef>
          </c:val>
          <c:extLst>
            <c:ext xmlns:c16="http://schemas.microsoft.com/office/drawing/2014/chart" uri="{C3380CC4-5D6E-409C-BE32-E72D297353CC}">
              <c16:uniqueId val="{00000003-996C-40FC-B7FA-AE24E235434C}"/>
            </c:ext>
          </c:extLst>
        </c:ser>
        <c:dLbls>
          <c:showLegendKey val="0"/>
          <c:showVal val="0"/>
          <c:showCatName val="0"/>
          <c:showSerName val="0"/>
          <c:showPercent val="0"/>
          <c:showBubbleSize val="0"/>
        </c:dLbls>
        <c:gapWidth val="219"/>
        <c:overlap val="-27"/>
        <c:axId val="761712048"/>
        <c:axId val="761711216"/>
      </c:barChart>
      <c:catAx>
        <c:axId val="76171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11216"/>
        <c:crosses val="autoZero"/>
        <c:auto val="1"/>
        <c:lblAlgn val="ctr"/>
        <c:lblOffset val="100"/>
        <c:noMultiLvlLbl val="0"/>
      </c:catAx>
      <c:valAx>
        <c:axId val="76171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1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Assesment Table.xlsx]Sheet5!PivotTable6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0234131671041125"/>
              <c:y val="-4.321777486147607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411111111111109"/>
                  <c:h val="6.4745552639253412E-2"/>
                </c:manualLayout>
              </c15:layout>
            </c:ext>
          </c:extLst>
        </c:dLbl>
      </c:pivotFmt>
      <c:pivotFmt>
        <c:idx val="6"/>
        <c:spPr>
          <a:solidFill>
            <a:schemeClr val="accent1"/>
          </a:solidFill>
          <a:ln>
            <a:noFill/>
          </a:ln>
          <a:effectLst/>
        </c:spPr>
        <c:dLbl>
          <c:idx val="0"/>
          <c:layout>
            <c:manualLayout>
              <c:x val="-0.15113298337707798"/>
              <c:y val="-1.95064158646827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Sum of Income</c:v>
                </c:pt>
              </c:strCache>
            </c:strRef>
          </c:tx>
          <c:spPr>
            <a:solidFill>
              <a:schemeClr val="accent1"/>
            </a:solidFill>
            <a:ln>
              <a:noFill/>
            </a:ln>
            <a:effectLst/>
          </c:spPr>
          <c:invertIfNegative val="0"/>
          <c:dLbls>
            <c:dLbl>
              <c:idx val="0"/>
              <c:layout>
                <c:manualLayout>
                  <c:x val="-0.15113298337707798"/>
                  <c:y val="-1.95064158646827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AD2-4D47-8AD7-69B93196AC29}"/>
                </c:ext>
              </c:extLst>
            </c:dLbl>
            <c:dLbl>
              <c:idx val="1"/>
              <c:layout>
                <c:manualLayout>
                  <c:x val="-0.20234131671041125"/>
                  <c:y val="-4.3217774861476072E-3"/>
                </c:manualLayout>
              </c:layout>
              <c:showLegendKey val="0"/>
              <c:showVal val="1"/>
              <c:showCatName val="0"/>
              <c:showSerName val="0"/>
              <c:showPercent val="0"/>
              <c:showBubbleSize val="0"/>
              <c:extLst>
                <c:ext xmlns:c15="http://schemas.microsoft.com/office/drawing/2012/chart" uri="{CE6537A1-D6FC-4f65-9D91-7224C49458BB}">
                  <c15:layout>
                    <c:manualLayout>
                      <c:w val="0.15411111111111109"/>
                      <c:h val="6.4745552639253412E-2"/>
                    </c:manualLayout>
                  </c15:layout>
                </c:ext>
                <c:ext xmlns:c16="http://schemas.microsoft.com/office/drawing/2014/chart" uri="{C3380CC4-5D6E-409C-BE32-E72D297353CC}">
                  <c16:uniqueId val="{00000006-BAD2-4D47-8AD7-69B93196AC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Sheet5!$A$4:$A$6</c:f>
              <c:strCache>
                <c:ptCount val="2"/>
                <c:pt idx="0">
                  <c:v>FALSE</c:v>
                </c:pt>
                <c:pt idx="1">
                  <c:v>TRUE</c:v>
                </c:pt>
              </c:strCache>
            </c:strRef>
          </c:cat>
          <c:val>
            <c:numRef>
              <c:f>Sheet5!$B$4:$B$6</c:f>
              <c:numCache>
                <c:formatCode>General</c:formatCode>
                <c:ptCount val="2"/>
                <c:pt idx="0">
                  <c:v>93398869</c:v>
                </c:pt>
                <c:pt idx="1">
                  <c:v>87773085</c:v>
                </c:pt>
              </c:numCache>
            </c:numRef>
          </c:val>
          <c:extLst>
            <c:ext xmlns:c16="http://schemas.microsoft.com/office/drawing/2014/chart" uri="{C3380CC4-5D6E-409C-BE32-E72D297353CC}">
              <c16:uniqueId val="{00000001-BAD2-4D47-8AD7-69B93196AC29}"/>
            </c:ext>
          </c:extLst>
        </c:ser>
        <c:ser>
          <c:idx val="1"/>
          <c:order val="1"/>
          <c:tx>
            <c:strRef>
              <c:f>Sheet5!$C$3</c:f>
              <c:strCache>
                <c:ptCount val="1"/>
                <c:pt idx="0">
                  <c:v>Sum of Loan_Amount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Sheet5!$A$4:$A$6</c:f>
              <c:strCache>
                <c:ptCount val="2"/>
                <c:pt idx="0">
                  <c:v>FALSE</c:v>
                </c:pt>
                <c:pt idx="1">
                  <c:v>TRUE</c:v>
                </c:pt>
              </c:strCache>
            </c:strRef>
          </c:cat>
          <c:val>
            <c:numRef>
              <c:f>Sheet5!$C$4:$C$6</c:f>
              <c:numCache>
                <c:formatCode>General</c:formatCode>
                <c:ptCount val="2"/>
                <c:pt idx="0">
                  <c:v>30596553</c:v>
                </c:pt>
                <c:pt idx="1">
                  <c:v>20020453</c:v>
                </c:pt>
              </c:numCache>
            </c:numRef>
          </c:val>
          <c:extLst>
            <c:ext xmlns:c16="http://schemas.microsoft.com/office/drawing/2014/chart" uri="{C3380CC4-5D6E-409C-BE32-E72D297353CC}">
              <c16:uniqueId val="{00000003-BAD2-4D47-8AD7-69B93196AC29}"/>
            </c:ext>
          </c:extLst>
        </c:ser>
        <c:dLbls>
          <c:showLegendKey val="0"/>
          <c:showVal val="0"/>
          <c:showCatName val="0"/>
          <c:showSerName val="0"/>
          <c:showPercent val="0"/>
          <c:showBubbleSize val="0"/>
        </c:dLbls>
        <c:gapWidth val="219"/>
        <c:axId val="373756368"/>
        <c:axId val="373756784"/>
      </c:barChart>
      <c:valAx>
        <c:axId val="373756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56368"/>
        <c:crosses val="autoZero"/>
        <c:crossBetween val="between"/>
      </c:valAx>
      <c:catAx>
        <c:axId val="37375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567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Assesment Table.xlsx]Sheet6!PivotTable8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Felicia Hobbs</c:v>
                </c:pt>
                <c:pt idx="1">
                  <c:v>Jesus Johnson</c:v>
                </c:pt>
                <c:pt idx="2">
                  <c:v>Julia Wiley</c:v>
                </c:pt>
                <c:pt idx="3">
                  <c:v>Michael Anderson</c:v>
                </c:pt>
                <c:pt idx="4">
                  <c:v>Monica Wilson</c:v>
                </c:pt>
              </c:strCache>
            </c:strRef>
          </c:cat>
          <c:val>
            <c:numRef>
              <c:f>Sheet6!$B$4:$B$9</c:f>
              <c:numCache>
                <c:formatCode>General</c:formatCode>
                <c:ptCount val="5"/>
                <c:pt idx="0">
                  <c:v>49999</c:v>
                </c:pt>
                <c:pt idx="1">
                  <c:v>49920</c:v>
                </c:pt>
                <c:pt idx="2">
                  <c:v>49982</c:v>
                </c:pt>
                <c:pt idx="3">
                  <c:v>49922</c:v>
                </c:pt>
                <c:pt idx="4">
                  <c:v>49906</c:v>
                </c:pt>
              </c:numCache>
            </c:numRef>
          </c:val>
          <c:extLst>
            <c:ext xmlns:c16="http://schemas.microsoft.com/office/drawing/2014/chart" uri="{C3380CC4-5D6E-409C-BE32-E72D297353CC}">
              <c16:uniqueId val="{00000001-AFCD-492D-BE0D-69AC7DE66746}"/>
            </c:ext>
          </c:extLst>
        </c:ser>
        <c:dLbls>
          <c:showLegendKey val="0"/>
          <c:showVal val="0"/>
          <c:showCatName val="0"/>
          <c:showSerName val="0"/>
          <c:showPercent val="0"/>
          <c:showBubbleSize val="0"/>
        </c:dLbls>
        <c:gapWidth val="219"/>
        <c:overlap val="-27"/>
        <c:axId val="820932224"/>
        <c:axId val="820924736"/>
      </c:barChart>
      <c:catAx>
        <c:axId val="82093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24736"/>
        <c:crosses val="autoZero"/>
        <c:auto val="1"/>
        <c:lblAlgn val="ctr"/>
        <c:lblOffset val="100"/>
        <c:noMultiLvlLbl val="0"/>
      </c:catAx>
      <c:valAx>
        <c:axId val="82092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3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Assesment Table.xlsx]Sheet2!PivotTable1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300-450 (Poor)</c:v>
                </c:pt>
                <c:pt idx="1">
                  <c:v>451-600 (Fair)</c:v>
                </c:pt>
                <c:pt idx="2">
                  <c:v>601-750 (Good)</c:v>
                </c:pt>
                <c:pt idx="3">
                  <c:v>751-850 (Excellent)</c:v>
                </c:pt>
              </c:strCache>
            </c:strRef>
          </c:cat>
          <c:val>
            <c:numRef>
              <c:f>Sheet2!$B$4:$B$8</c:f>
              <c:numCache>
                <c:formatCode>General</c:formatCode>
                <c:ptCount val="4"/>
                <c:pt idx="0">
                  <c:v>46</c:v>
                </c:pt>
                <c:pt idx="1">
                  <c:v>76</c:v>
                </c:pt>
                <c:pt idx="2">
                  <c:v>400</c:v>
                </c:pt>
                <c:pt idx="3">
                  <c:v>357</c:v>
                </c:pt>
              </c:numCache>
            </c:numRef>
          </c:val>
          <c:extLst>
            <c:ext xmlns:c16="http://schemas.microsoft.com/office/drawing/2014/chart" uri="{C3380CC4-5D6E-409C-BE32-E72D297353CC}">
              <c16:uniqueId val="{00000001-513A-4BCB-BF06-27F2E076FD8D}"/>
            </c:ext>
          </c:extLst>
        </c:ser>
        <c:dLbls>
          <c:showLegendKey val="0"/>
          <c:showVal val="0"/>
          <c:showCatName val="0"/>
          <c:showSerName val="0"/>
          <c:showPercent val="0"/>
          <c:showBubbleSize val="0"/>
        </c:dLbls>
        <c:gapWidth val="219"/>
        <c:overlap val="-27"/>
        <c:axId val="483445568"/>
        <c:axId val="483446400"/>
      </c:barChart>
      <c:catAx>
        <c:axId val="48344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446400"/>
        <c:crosses val="autoZero"/>
        <c:auto val="1"/>
        <c:lblAlgn val="ctr"/>
        <c:lblOffset val="100"/>
        <c:noMultiLvlLbl val="0"/>
      </c:catAx>
      <c:valAx>
        <c:axId val="48344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44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Assesment Table.xlsx]Sheet2!PivotTable1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LOAN APPROVED BY NOTABLE PATTERNS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s>
    <c:plotArea>
      <c:layout/>
      <c:barChart>
        <c:barDir val="col"/>
        <c:grouping val="clustered"/>
        <c:varyColors val="0"/>
        <c:ser>
          <c:idx val="0"/>
          <c:order val="0"/>
          <c:tx>
            <c:strRef>
              <c:f>Sheet2!$B$3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300-450 (Poor)</c:v>
                </c:pt>
                <c:pt idx="1">
                  <c:v>451-600 (Fair)</c:v>
                </c:pt>
                <c:pt idx="2">
                  <c:v>601-750 (Good)</c:v>
                </c:pt>
                <c:pt idx="3">
                  <c:v>751-850 (Excellent)</c:v>
                </c:pt>
              </c:strCache>
            </c:strRef>
          </c:cat>
          <c:val>
            <c:numRef>
              <c:f>Sheet2!$B$4:$B$8</c:f>
              <c:numCache>
                <c:formatCode>General</c:formatCode>
                <c:ptCount val="4"/>
                <c:pt idx="0">
                  <c:v>46</c:v>
                </c:pt>
                <c:pt idx="1">
                  <c:v>76</c:v>
                </c:pt>
                <c:pt idx="2">
                  <c:v>400</c:v>
                </c:pt>
                <c:pt idx="3">
                  <c:v>357</c:v>
                </c:pt>
              </c:numCache>
            </c:numRef>
          </c:val>
          <c:extLst>
            <c:ext xmlns:c16="http://schemas.microsoft.com/office/drawing/2014/chart" uri="{C3380CC4-5D6E-409C-BE32-E72D297353CC}">
              <c16:uniqueId val="{00000000-D22F-446C-8FC4-B62C64B423AC}"/>
            </c:ext>
          </c:extLst>
        </c:ser>
        <c:dLbls>
          <c:showLegendKey val="0"/>
          <c:showVal val="0"/>
          <c:showCatName val="0"/>
          <c:showSerName val="0"/>
          <c:showPercent val="0"/>
          <c:showBubbleSize val="0"/>
        </c:dLbls>
        <c:gapWidth val="219"/>
        <c:overlap val="-27"/>
        <c:axId val="483445568"/>
        <c:axId val="483446400"/>
      </c:barChart>
      <c:catAx>
        <c:axId val="48344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446400"/>
        <c:crosses val="autoZero"/>
        <c:auto val="1"/>
        <c:lblAlgn val="ctr"/>
        <c:lblOffset val="100"/>
        <c:noMultiLvlLbl val="0"/>
      </c:catAx>
      <c:valAx>
        <c:axId val="48344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44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Assesment Table.xlsx]Sheet4!PivotTable3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POINT BY YEAR EMPLOYED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Sheet4!$A$3</c:f>
              <c:strCache>
                <c:ptCount val="1"/>
                <c:pt idx="0">
                  <c:v>Sum of Points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c:f>
              <c:strCache>
                <c:ptCount val="1"/>
                <c:pt idx="0">
                  <c:v>Total</c:v>
                </c:pt>
              </c:strCache>
            </c:strRef>
          </c:cat>
          <c:val>
            <c:numRef>
              <c:f>Sheet4!$A$4</c:f>
              <c:numCache>
                <c:formatCode>General</c:formatCode>
                <c:ptCount val="1"/>
                <c:pt idx="0">
                  <c:v>113360</c:v>
                </c:pt>
              </c:numCache>
            </c:numRef>
          </c:val>
          <c:extLst>
            <c:ext xmlns:c16="http://schemas.microsoft.com/office/drawing/2014/chart" uri="{C3380CC4-5D6E-409C-BE32-E72D297353CC}">
              <c16:uniqueId val="{00000000-CE35-4FBD-B7FE-D0EA1DD61995}"/>
            </c:ext>
          </c:extLst>
        </c:ser>
        <c:ser>
          <c:idx val="1"/>
          <c:order val="1"/>
          <c:tx>
            <c:strRef>
              <c:f>Sheet4!$B$3</c:f>
              <c:strCache>
                <c:ptCount val="1"/>
                <c:pt idx="0">
                  <c:v>Sum of Years_Employed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c:f>
              <c:strCache>
                <c:ptCount val="1"/>
                <c:pt idx="0">
                  <c:v>Total</c:v>
                </c:pt>
              </c:strCache>
            </c:strRef>
          </c:cat>
          <c:val>
            <c:numRef>
              <c:f>Sheet4!$B$4</c:f>
              <c:numCache>
                <c:formatCode>General</c:formatCode>
                <c:ptCount val="1"/>
                <c:pt idx="0">
                  <c:v>40882</c:v>
                </c:pt>
              </c:numCache>
            </c:numRef>
          </c:val>
          <c:extLst>
            <c:ext xmlns:c16="http://schemas.microsoft.com/office/drawing/2014/chart" uri="{C3380CC4-5D6E-409C-BE32-E72D297353CC}">
              <c16:uniqueId val="{00000001-CE35-4FBD-B7FE-D0EA1DD61995}"/>
            </c:ext>
          </c:extLst>
        </c:ser>
        <c:dLbls>
          <c:showLegendKey val="0"/>
          <c:showVal val="0"/>
          <c:showCatName val="0"/>
          <c:showSerName val="0"/>
          <c:showPercent val="0"/>
          <c:showBubbleSize val="0"/>
        </c:dLbls>
        <c:gapWidth val="219"/>
        <c:axId val="761712048"/>
        <c:axId val="761711216"/>
      </c:barChart>
      <c:catAx>
        <c:axId val="76171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11216"/>
        <c:crosses val="autoZero"/>
        <c:auto val="1"/>
        <c:lblAlgn val="ctr"/>
        <c:lblOffset val="100"/>
        <c:noMultiLvlLbl val="0"/>
      </c:catAx>
      <c:valAx>
        <c:axId val="761711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1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Assesment Table.xlsx]Sheet5!PivotTable6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INCOME BY LOAN AMOUNT</a:t>
            </a:r>
          </a:p>
        </c:rich>
      </c:tx>
      <c:layout>
        <c:manualLayout>
          <c:xMode val="edge"/>
          <c:yMode val="edge"/>
          <c:x val="0.25018044619422575"/>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0234131671041125"/>
              <c:y val="-4.321777486147607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411111111111109"/>
                  <c:h val="6.4745552639253412E-2"/>
                </c:manualLayout>
              </c15:layout>
            </c:ext>
          </c:extLst>
        </c:dLbl>
      </c:pivotFmt>
      <c:pivotFmt>
        <c:idx val="6"/>
        <c:spPr>
          <a:solidFill>
            <a:schemeClr val="accent1"/>
          </a:solidFill>
          <a:ln>
            <a:noFill/>
          </a:ln>
          <a:effectLst/>
        </c:spPr>
        <c:dLbl>
          <c:idx val="0"/>
          <c:layout>
            <c:manualLayout>
              <c:x val="-0.15113298337707798"/>
              <c:y val="-1.95064158646827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5113298337707798"/>
              <c:y val="-1.95064158646827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20234131671041125"/>
              <c:y val="-4.321777486147607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411111111111109"/>
                  <c:h val="6.4745552639253412E-2"/>
                </c:manualLayout>
              </c15:layout>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15113298337707798"/>
              <c:y val="-1.95064158646827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20234131671041125"/>
              <c:y val="-4.321777486147607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411111111111109"/>
                  <c:h val="6.4745552639253412E-2"/>
                </c:manualLayout>
              </c15:layout>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Sum of Income</c:v>
                </c:pt>
              </c:strCache>
            </c:strRef>
          </c:tx>
          <c:spPr>
            <a:solidFill>
              <a:schemeClr val="accent1"/>
            </a:solidFill>
            <a:ln>
              <a:noFill/>
            </a:ln>
            <a:effectLst/>
          </c:spPr>
          <c:invertIfNegative val="0"/>
          <c:dLbls>
            <c:dLbl>
              <c:idx val="0"/>
              <c:layout>
                <c:manualLayout>
                  <c:x val="-0.15113298337707798"/>
                  <c:y val="-1.95064158646827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9A6-43BF-BFD1-D0D3F6D3BB21}"/>
                </c:ext>
              </c:extLst>
            </c:dLbl>
            <c:dLbl>
              <c:idx val="1"/>
              <c:layout>
                <c:manualLayout>
                  <c:x val="-0.20234131671041125"/>
                  <c:y val="-4.3217774861476072E-3"/>
                </c:manualLayout>
              </c:layout>
              <c:showLegendKey val="0"/>
              <c:showVal val="1"/>
              <c:showCatName val="0"/>
              <c:showSerName val="0"/>
              <c:showPercent val="0"/>
              <c:showBubbleSize val="0"/>
              <c:extLst>
                <c:ext xmlns:c15="http://schemas.microsoft.com/office/drawing/2012/chart" uri="{CE6537A1-D6FC-4f65-9D91-7224C49458BB}">
                  <c15:layout>
                    <c:manualLayout>
                      <c:w val="0.15411111111111109"/>
                      <c:h val="6.4745552639253412E-2"/>
                    </c:manualLayout>
                  </c15:layout>
                </c:ext>
                <c:ext xmlns:c16="http://schemas.microsoft.com/office/drawing/2014/chart" uri="{C3380CC4-5D6E-409C-BE32-E72D297353CC}">
                  <c16:uniqueId val="{00000001-29A6-43BF-BFD1-D0D3F6D3BB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Sheet5!$A$4:$A$6</c:f>
              <c:strCache>
                <c:ptCount val="2"/>
                <c:pt idx="0">
                  <c:v>FALSE</c:v>
                </c:pt>
                <c:pt idx="1">
                  <c:v>TRUE</c:v>
                </c:pt>
              </c:strCache>
            </c:strRef>
          </c:cat>
          <c:val>
            <c:numRef>
              <c:f>Sheet5!$B$4:$B$6</c:f>
              <c:numCache>
                <c:formatCode>General</c:formatCode>
                <c:ptCount val="2"/>
                <c:pt idx="0">
                  <c:v>93398869</c:v>
                </c:pt>
                <c:pt idx="1">
                  <c:v>87773085</c:v>
                </c:pt>
              </c:numCache>
            </c:numRef>
          </c:val>
          <c:extLst>
            <c:ext xmlns:c16="http://schemas.microsoft.com/office/drawing/2014/chart" uri="{C3380CC4-5D6E-409C-BE32-E72D297353CC}">
              <c16:uniqueId val="{00000002-29A6-43BF-BFD1-D0D3F6D3BB21}"/>
            </c:ext>
          </c:extLst>
        </c:ser>
        <c:ser>
          <c:idx val="1"/>
          <c:order val="1"/>
          <c:tx>
            <c:strRef>
              <c:f>Sheet5!$C$3</c:f>
              <c:strCache>
                <c:ptCount val="1"/>
                <c:pt idx="0">
                  <c:v>Sum of Loan_Amount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Sheet5!$A$4:$A$6</c:f>
              <c:strCache>
                <c:ptCount val="2"/>
                <c:pt idx="0">
                  <c:v>FALSE</c:v>
                </c:pt>
                <c:pt idx="1">
                  <c:v>TRUE</c:v>
                </c:pt>
              </c:strCache>
            </c:strRef>
          </c:cat>
          <c:val>
            <c:numRef>
              <c:f>Sheet5!$C$4:$C$6</c:f>
              <c:numCache>
                <c:formatCode>General</c:formatCode>
                <c:ptCount val="2"/>
                <c:pt idx="0">
                  <c:v>30596553</c:v>
                </c:pt>
                <c:pt idx="1">
                  <c:v>20020453</c:v>
                </c:pt>
              </c:numCache>
            </c:numRef>
          </c:val>
          <c:extLst>
            <c:ext xmlns:c16="http://schemas.microsoft.com/office/drawing/2014/chart" uri="{C3380CC4-5D6E-409C-BE32-E72D297353CC}">
              <c16:uniqueId val="{00000003-29A6-43BF-BFD1-D0D3F6D3BB21}"/>
            </c:ext>
          </c:extLst>
        </c:ser>
        <c:dLbls>
          <c:showLegendKey val="0"/>
          <c:showVal val="0"/>
          <c:showCatName val="0"/>
          <c:showSerName val="0"/>
          <c:showPercent val="0"/>
          <c:showBubbleSize val="0"/>
        </c:dLbls>
        <c:gapWidth val="219"/>
        <c:axId val="373756368"/>
        <c:axId val="373756784"/>
      </c:barChart>
      <c:valAx>
        <c:axId val="373756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56368"/>
        <c:crosses val="autoZero"/>
        <c:crossBetween val="between"/>
      </c:valAx>
      <c:catAx>
        <c:axId val="37375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567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[Loan Assesment Table.xlsx]Sheet6!PivotTable8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INDIVIDUAL WITH THE HEIGHT LOAN AMOUT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Felicia Hobbs</c:v>
                </c:pt>
                <c:pt idx="1">
                  <c:v>Jesus Johnson</c:v>
                </c:pt>
                <c:pt idx="2">
                  <c:v>Julia Wiley</c:v>
                </c:pt>
                <c:pt idx="3">
                  <c:v>Michael Anderson</c:v>
                </c:pt>
                <c:pt idx="4">
                  <c:v>Monica Wilson</c:v>
                </c:pt>
              </c:strCache>
            </c:strRef>
          </c:cat>
          <c:val>
            <c:numRef>
              <c:f>Sheet6!$B$4:$B$9</c:f>
              <c:numCache>
                <c:formatCode>General</c:formatCode>
                <c:ptCount val="5"/>
                <c:pt idx="0">
                  <c:v>49999</c:v>
                </c:pt>
                <c:pt idx="1">
                  <c:v>49920</c:v>
                </c:pt>
                <c:pt idx="2">
                  <c:v>49982</c:v>
                </c:pt>
                <c:pt idx="3">
                  <c:v>49922</c:v>
                </c:pt>
                <c:pt idx="4">
                  <c:v>49906</c:v>
                </c:pt>
              </c:numCache>
            </c:numRef>
          </c:val>
          <c:extLst>
            <c:ext xmlns:c16="http://schemas.microsoft.com/office/drawing/2014/chart" uri="{C3380CC4-5D6E-409C-BE32-E72D297353CC}">
              <c16:uniqueId val="{00000000-D437-48A7-8862-C622DBF64921}"/>
            </c:ext>
          </c:extLst>
        </c:ser>
        <c:dLbls>
          <c:showLegendKey val="0"/>
          <c:showVal val="0"/>
          <c:showCatName val="0"/>
          <c:showSerName val="0"/>
          <c:showPercent val="0"/>
          <c:showBubbleSize val="0"/>
        </c:dLbls>
        <c:gapWidth val="219"/>
        <c:overlap val="-27"/>
        <c:axId val="820932224"/>
        <c:axId val="820924736"/>
      </c:barChart>
      <c:catAx>
        <c:axId val="82093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24736"/>
        <c:crosses val="autoZero"/>
        <c:auto val="1"/>
        <c:lblAlgn val="ctr"/>
        <c:lblOffset val="100"/>
        <c:noMultiLvlLbl val="0"/>
      </c:catAx>
      <c:valAx>
        <c:axId val="82092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3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206375</xdr:colOff>
      <xdr:row>4</xdr:row>
      <xdr:rowOff>88900</xdr:rowOff>
    </xdr:from>
    <xdr:to>
      <xdr:col>10</xdr:col>
      <xdr:colOff>511175</xdr:colOff>
      <xdr:row>19</xdr:row>
      <xdr:rowOff>69850</xdr:rowOff>
    </xdr:to>
    <xdr:graphicFrame macro="">
      <xdr:nvGraphicFramePr>
        <xdr:cNvPr id="2" name="Chart 1">
          <a:extLst>
            <a:ext uri="{FF2B5EF4-FFF2-40B4-BE49-F238E27FC236}">
              <a16:creationId xmlns:a16="http://schemas.microsoft.com/office/drawing/2014/main" id="{B67AB9F7-684D-4F7B-9889-BDCE32681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1095375</xdr:colOff>
      <xdr:row>4</xdr:row>
      <xdr:rowOff>95250</xdr:rowOff>
    </xdr:from>
    <xdr:to>
      <xdr:col>10</xdr:col>
      <xdr:colOff>66675</xdr:colOff>
      <xdr:row>19</xdr:row>
      <xdr:rowOff>76200</xdr:rowOff>
    </xdr:to>
    <xdr:graphicFrame macro="">
      <xdr:nvGraphicFramePr>
        <xdr:cNvPr id="2" name="Chart 1">
          <a:extLst>
            <a:ext uri="{FF2B5EF4-FFF2-40B4-BE49-F238E27FC236}">
              <a16:creationId xmlns:a16="http://schemas.microsoft.com/office/drawing/2014/main" id="{EFBB3C6B-4074-4DD4-9FC4-5446B059A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466725</xdr:colOff>
      <xdr:row>3</xdr:row>
      <xdr:rowOff>133350</xdr:rowOff>
    </xdr:from>
    <xdr:to>
      <xdr:col>10</xdr:col>
      <xdr:colOff>161925</xdr:colOff>
      <xdr:row>18</xdr:row>
      <xdr:rowOff>114300</xdr:rowOff>
    </xdr:to>
    <xdr:graphicFrame macro="">
      <xdr:nvGraphicFramePr>
        <xdr:cNvPr id="2" name="Chart 1">
          <a:extLst>
            <a:ext uri="{FF2B5EF4-FFF2-40B4-BE49-F238E27FC236}">
              <a16:creationId xmlns:a16="http://schemas.microsoft.com/office/drawing/2014/main" id="{48416289-7A04-4644-BB78-1C72E3E78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368300</xdr:colOff>
      <xdr:row>5</xdr:row>
      <xdr:rowOff>44450</xdr:rowOff>
    </xdr:from>
    <xdr:to>
      <xdr:col>8</xdr:col>
      <xdr:colOff>368300</xdr:colOff>
      <xdr:row>18</xdr:row>
      <xdr:rowOff>174625</xdr:rowOff>
    </xdr:to>
    <mc:AlternateContent xmlns:mc="http://schemas.openxmlformats.org/markup-compatibility/2006">
      <mc:Choice xmlns:a14="http://schemas.microsoft.com/office/drawing/2010/main" Requires="a14">
        <xdr:graphicFrame macro="">
          <xdr:nvGraphicFramePr>
            <xdr:cNvPr id="2" name="Name">
              <a:extLst>
                <a:ext uri="{FF2B5EF4-FFF2-40B4-BE49-F238E27FC236}">
                  <a16:creationId xmlns:a16="http://schemas.microsoft.com/office/drawing/2014/main" id="{C59A2761-902C-46F8-B354-9C38CD987805}"/>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3416300" y="965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339725</xdr:colOff>
      <xdr:row>5</xdr:row>
      <xdr:rowOff>19050</xdr:rowOff>
    </xdr:from>
    <xdr:to>
      <xdr:col>10</xdr:col>
      <xdr:colOff>34925</xdr:colOff>
      <xdr:row>20</xdr:row>
      <xdr:rowOff>0</xdr:rowOff>
    </xdr:to>
    <xdr:graphicFrame macro="">
      <xdr:nvGraphicFramePr>
        <xdr:cNvPr id="2" name="Chart 1">
          <a:extLst>
            <a:ext uri="{FF2B5EF4-FFF2-40B4-BE49-F238E27FC236}">
              <a16:creationId xmlns:a16="http://schemas.microsoft.com/office/drawing/2014/main" id="{7F2135AB-848C-48EA-B7FA-665436AB9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7937</xdr:colOff>
      <xdr:row>6</xdr:row>
      <xdr:rowOff>63500</xdr:rowOff>
    </xdr:from>
    <xdr:to>
      <xdr:col>8</xdr:col>
      <xdr:colOff>460375</xdr:colOff>
      <xdr:row>22</xdr:row>
      <xdr:rowOff>33337</xdr:rowOff>
    </xdr:to>
    <xdr:graphicFrame macro="">
      <xdr:nvGraphicFramePr>
        <xdr:cNvPr id="2" name="Chart 1">
          <a:extLst>
            <a:ext uri="{FF2B5EF4-FFF2-40B4-BE49-F238E27FC236}">
              <a16:creationId xmlns:a16="http://schemas.microsoft.com/office/drawing/2014/main" id="{5FDF6126-896F-419C-A68E-7FC3C8CD3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xdr:colOff>
      <xdr:row>6</xdr:row>
      <xdr:rowOff>31751</xdr:rowOff>
    </xdr:from>
    <xdr:to>
      <xdr:col>16</xdr:col>
      <xdr:colOff>304800</xdr:colOff>
      <xdr:row>21</xdr:row>
      <xdr:rowOff>174625</xdr:rowOff>
    </xdr:to>
    <xdr:graphicFrame macro="">
      <xdr:nvGraphicFramePr>
        <xdr:cNvPr id="3" name="Chart 2">
          <a:extLst>
            <a:ext uri="{FF2B5EF4-FFF2-40B4-BE49-F238E27FC236}">
              <a16:creationId xmlns:a16="http://schemas.microsoft.com/office/drawing/2014/main" id="{8AB8BF7D-40D7-41B8-AEB3-E624935FD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174626</xdr:rowOff>
    </xdr:from>
    <xdr:to>
      <xdr:col>8</xdr:col>
      <xdr:colOff>444500</xdr:colOff>
      <xdr:row>40</xdr:row>
      <xdr:rowOff>0</xdr:rowOff>
    </xdr:to>
    <xdr:graphicFrame macro="">
      <xdr:nvGraphicFramePr>
        <xdr:cNvPr id="4" name="Chart 3">
          <a:extLst>
            <a:ext uri="{FF2B5EF4-FFF2-40B4-BE49-F238E27FC236}">
              <a16:creationId xmlns:a16="http://schemas.microsoft.com/office/drawing/2014/main" id="{F30B1394-9284-4466-96D7-E5CAC4CD3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603250</xdr:colOff>
      <xdr:row>23</xdr:row>
      <xdr:rowOff>71436</xdr:rowOff>
    </xdr:from>
    <xdr:to>
      <xdr:col>16</xdr:col>
      <xdr:colOff>296863</xdr:colOff>
      <xdr:row>40</xdr:row>
      <xdr:rowOff>31751</xdr:rowOff>
    </xdr:to>
    <xdr:graphicFrame macro="">
      <xdr:nvGraphicFramePr>
        <xdr:cNvPr id="8" name="Chart 7">
          <a:extLst>
            <a:ext uri="{FF2B5EF4-FFF2-40B4-BE49-F238E27FC236}">
              <a16:creationId xmlns:a16="http://schemas.microsoft.com/office/drawing/2014/main" id="{0D9C5AD1-0DF9-46BD-BF37-58111B6C5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460375</xdr:colOff>
      <xdr:row>6</xdr:row>
      <xdr:rowOff>31747</xdr:rowOff>
    </xdr:from>
    <xdr:to>
      <xdr:col>19</xdr:col>
      <xdr:colOff>455612</xdr:colOff>
      <xdr:row>40</xdr:row>
      <xdr:rowOff>-1</xdr:rowOff>
    </xdr:to>
    <mc:AlternateContent xmlns:mc="http://schemas.openxmlformats.org/markup-compatibility/2006">
      <mc:Choice xmlns:a14="http://schemas.microsoft.com/office/drawing/2010/main" Requires="a14">
        <xdr:graphicFrame macro="">
          <xdr:nvGraphicFramePr>
            <xdr:cNvPr id="10" name="Name 1">
              <a:extLst>
                <a:ext uri="{FF2B5EF4-FFF2-40B4-BE49-F238E27FC236}">
                  <a16:creationId xmlns:a16="http://schemas.microsoft.com/office/drawing/2014/main" id="{F3C9083B-1A1D-49EF-81A7-37DD2FC98EBE}"/>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dr:sp macro="" textlink="">
          <xdr:nvSpPr>
            <xdr:cNvPr id="0" name=""/>
            <xdr:cNvSpPr>
              <a:spLocks noTextEdit="1"/>
            </xdr:cNvSpPr>
          </xdr:nvSpPr>
          <xdr:spPr>
            <a:xfrm>
              <a:off x="10281708" y="1111247"/>
              <a:ext cx="1836737" cy="6085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23813</xdr:colOff>
      <xdr:row>1</xdr:row>
      <xdr:rowOff>127000</xdr:rowOff>
    </xdr:from>
    <xdr:to>
      <xdr:col>3</xdr:col>
      <xdr:colOff>39687</xdr:colOff>
      <xdr:row>6</xdr:row>
      <xdr:rowOff>55563</xdr:rowOff>
    </xdr:to>
    <xdr:sp macro="" textlink="">
      <xdr:nvSpPr>
        <xdr:cNvPr id="11" name="TextBox 10">
          <a:extLst>
            <a:ext uri="{FF2B5EF4-FFF2-40B4-BE49-F238E27FC236}">
              <a16:creationId xmlns:a16="http://schemas.microsoft.com/office/drawing/2014/main" id="{A310422B-2628-4EA9-8E95-8C5A28A20BA5}"/>
            </a:ext>
          </a:extLst>
        </xdr:cNvPr>
        <xdr:cNvSpPr txBox="1"/>
      </xdr:nvSpPr>
      <xdr:spPr>
        <a:xfrm>
          <a:off x="23813" y="309563"/>
          <a:ext cx="1849437" cy="841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a:t>         2000 </a:t>
          </a:r>
        </a:p>
        <a:p>
          <a:pPr algn="l"/>
          <a:r>
            <a:rPr lang="en-US" sz="1050"/>
            <a:t>count of loan </a:t>
          </a:r>
          <a:r>
            <a:rPr lang="en-US" sz="1050" baseline="0"/>
            <a:t> approvel</a:t>
          </a:r>
          <a:endParaRPr lang="en-US" sz="1050"/>
        </a:p>
      </xdr:txBody>
    </xdr:sp>
    <xdr:clientData/>
  </xdr:twoCellAnchor>
  <xdr:twoCellAnchor>
    <xdr:from>
      <xdr:col>5</xdr:col>
      <xdr:colOff>0</xdr:colOff>
      <xdr:row>1</xdr:row>
      <xdr:rowOff>166686</xdr:rowOff>
    </xdr:from>
    <xdr:to>
      <xdr:col>8</xdr:col>
      <xdr:colOff>7938</xdr:colOff>
      <xdr:row>6</xdr:row>
      <xdr:rowOff>63499</xdr:rowOff>
    </xdr:to>
    <xdr:sp macro="" textlink="">
      <xdr:nvSpPr>
        <xdr:cNvPr id="12" name="TextBox 11">
          <a:extLst>
            <a:ext uri="{FF2B5EF4-FFF2-40B4-BE49-F238E27FC236}">
              <a16:creationId xmlns:a16="http://schemas.microsoft.com/office/drawing/2014/main" id="{661174CD-8CC3-46DA-A90B-41F2F0FE68F5}"/>
            </a:ext>
          </a:extLst>
        </xdr:cNvPr>
        <xdr:cNvSpPr txBox="1"/>
      </xdr:nvSpPr>
      <xdr:spPr>
        <a:xfrm>
          <a:off x="3055938" y="349249"/>
          <a:ext cx="1841500"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0.44 </a:t>
          </a:r>
        </a:p>
        <a:p>
          <a:pPr algn="ctr"/>
          <a:r>
            <a:rPr lang="en-US" sz="1050"/>
            <a:t>average approval Rate</a:t>
          </a:r>
        </a:p>
      </xdr:txBody>
    </xdr:sp>
    <xdr:clientData/>
  </xdr:twoCellAnchor>
  <xdr:twoCellAnchor>
    <xdr:from>
      <xdr:col>10</xdr:col>
      <xdr:colOff>571499</xdr:colOff>
      <xdr:row>1</xdr:row>
      <xdr:rowOff>142874</xdr:rowOff>
    </xdr:from>
    <xdr:to>
      <xdr:col>13</xdr:col>
      <xdr:colOff>595311</xdr:colOff>
      <xdr:row>6</xdr:row>
      <xdr:rowOff>31749</xdr:rowOff>
    </xdr:to>
    <xdr:sp macro="" textlink="">
      <xdr:nvSpPr>
        <xdr:cNvPr id="13" name="TextBox 12">
          <a:extLst>
            <a:ext uri="{FF2B5EF4-FFF2-40B4-BE49-F238E27FC236}">
              <a16:creationId xmlns:a16="http://schemas.microsoft.com/office/drawing/2014/main" id="{F3F0F786-9947-4AD6-82E5-5C75187B38F6}"/>
            </a:ext>
          </a:extLst>
        </xdr:cNvPr>
        <xdr:cNvSpPr txBox="1"/>
      </xdr:nvSpPr>
      <xdr:spPr>
        <a:xfrm>
          <a:off x="6683374" y="325437"/>
          <a:ext cx="1857375" cy="801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879 </a:t>
          </a:r>
        </a:p>
        <a:p>
          <a:pPr algn="ctr"/>
          <a:r>
            <a:rPr lang="en-US" sz="1200"/>
            <a:t>sum of approved loan</a:t>
          </a:r>
        </a:p>
      </xdr:txBody>
    </xdr:sp>
    <xdr:clientData/>
  </xdr:twoCellAnchor>
  <xdr:oneCellAnchor>
    <xdr:from>
      <xdr:col>13</xdr:col>
      <xdr:colOff>388937</xdr:colOff>
      <xdr:row>3</xdr:row>
      <xdr:rowOff>23812</xdr:rowOff>
    </xdr:from>
    <xdr:ext cx="184731" cy="264560"/>
    <xdr:sp macro="" textlink="">
      <xdr:nvSpPr>
        <xdr:cNvPr id="14" name="TextBox 13">
          <a:extLst>
            <a:ext uri="{FF2B5EF4-FFF2-40B4-BE49-F238E27FC236}">
              <a16:creationId xmlns:a16="http://schemas.microsoft.com/office/drawing/2014/main" id="{554CBAF7-0DE4-462B-840D-9EDD32589C74}"/>
            </a:ext>
          </a:extLst>
        </xdr:cNvPr>
        <xdr:cNvSpPr txBox="1"/>
      </xdr:nvSpPr>
      <xdr:spPr>
        <a:xfrm>
          <a:off x="8334375" y="571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16</xdr:col>
      <xdr:colOff>238124</xdr:colOff>
      <xdr:row>1</xdr:row>
      <xdr:rowOff>111125</xdr:rowOff>
    </xdr:from>
    <xdr:to>
      <xdr:col>19</xdr:col>
      <xdr:colOff>460374</xdr:colOff>
      <xdr:row>6</xdr:row>
      <xdr:rowOff>7938</xdr:rowOff>
    </xdr:to>
    <xdr:sp macro="" textlink="">
      <xdr:nvSpPr>
        <xdr:cNvPr id="15" name="TextBox 14">
          <a:extLst>
            <a:ext uri="{FF2B5EF4-FFF2-40B4-BE49-F238E27FC236}">
              <a16:creationId xmlns:a16="http://schemas.microsoft.com/office/drawing/2014/main" id="{8218E027-FD25-47A7-9530-4FF94A779793}"/>
            </a:ext>
          </a:extLst>
        </xdr:cNvPr>
        <xdr:cNvSpPr txBox="1"/>
      </xdr:nvSpPr>
      <xdr:spPr>
        <a:xfrm>
          <a:off x="10017124" y="293688"/>
          <a:ext cx="2055813"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1121 </a:t>
          </a:r>
        </a:p>
        <a:p>
          <a:pPr algn="ctr"/>
          <a:r>
            <a:rPr lang="en-US" sz="1100"/>
            <a:t>sum of loan not approved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1.715699074077" createdVersion="7" refreshedVersion="7" minRefreshableVersion="3" recordCount="2000" xr:uid="{A213640A-BCD5-4CB4-9ED3-2729F41F5BC8}">
  <cacheSource type="worksheet">
    <worksheetSource ref="A2:J2002" sheet="Assesment Table"/>
  </cacheSource>
  <cacheFields count="11">
    <cacheField name="Name" numFmtId="0">
      <sharedItems count="2000">
        <s v="Allison Hill"/>
        <s v="Brandon Hall"/>
        <s v="Rhonda Smith"/>
        <s v="Gabrielle Davis"/>
        <s v="Valerie Gray"/>
        <s v="Darren Roberts"/>
        <s v="Holly Wood"/>
        <s v="Nicholas Martin"/>
        <s v="Patty Perez"/>
        <s v="Emily Rios"/>
        <s v="Justin Baker"/>
        <s v="Ann Williams"/>
        <s v="Julie King"/>
        <s v="Jeffrey Chavez"/>
        <s v="Mark Lynch"/>
        <s v="Alec Hickman"/>
        <s v="Vanessa Patel"/>
        <s v="Jenny Lewis"/>
        <s v="David Brown"/>
        <s v="Amy Jones"/>
        <s v="Carlos Walls"/>
        <s v="Jeffrey Henderson"/>
        <s v="Rebecca Rodriguez"/>
        <s v="David Leblanc"/>
        <s v="Tracy House"/>
        <s v="Carmen Smith"/>
        <s v="Katelyn Lee"/>
        <s v="John Calhoun"/>
        <s v="Megan Young"/>
        <s v="Emily Green"/>
        <s v="Timothy Walls"/>
        <s v="Derek Mahoney"/>
        <s v="Victoria Valdez"/>
        <s v="Brian Tran"/>
        <s v="Kathy King"/>
        <s v="Mandy Green"/>
        <s v="Melissa Hernandez"/>
        <s v="Jacob Fitzpatrick"/>
        <s v="Jennifer Oliver"/>
        <s v="Tim Patton"/>
        <s v="Andrew Ruiz"/>
        <s v="Matthew Ross"/>
        <s v="William Herrera"/>
        <s v="Kyle Reed"/>
        <s v="Andrew Graham"/>
        <s v="Belinda Mccullough"/>
        <s v="Cheryl Ortega"/>
        <s v="Elizabeth Clark"/>
        <s v="Toni Fitzgerald"/>
        <s v="Curtis Johnson"/>
        <s v="Laura Higgins"/>
        <s v="Shannon Mcclure"/>
        <s v="Ryan Bryant"/>
        <s v="Stephanie Simmons"/>
        <s v="Destiny Strickland"/>
        <s v="George Orozco"/>
        <s v="Jason Daniels"/>
        <s v="Pamela James"/>
        <s v="Stephanie Freeman"/>
        <s v="Sara Calhoun"/>
        <s v="Joel Williams"/>
        <s v="Trevor Fisher"/>
        <s v="Rachael Pearson"/>
        <s v="Brian Gould"/>
        <s v="Michelle Strickland"/>
        <s v="Tina Sanders"/>
        <s v="Lindsay Martinez"/>
        <s v="Jason Henry"/>
        <s v="Tracie Nelson"/>
        <s v="Angelica Keith"/>
        <s v="Frederick Freeman MD"/>
        <s v="Nathan Freeman"/>
        <s v="Daniel Holt"/>
        <s v="Zachary Pierce"/>
        <s v="Corey Wilson"/>
        <s v="Kelly Campbell"/>
        <s v="Joseph Hill"/>
        <s v="Julie Alexander"/>
        <s v="Benjamin Soto"/>
        <s v="Phillip Obrien"/>
        <s v="Wanda Torres"/>
        <s v="Brad Allen"/>
        <s v="Michael Warner"/>
        <s v="Taylor Coleman"/>
        <s v="Ricky Larson"/>
        <s v="Kathryn Snyder"/>
        <s v="Darryl Craig"/>
        <s v="Jessica Ramirez"/>
        <s v="Frank Garcia"/>
        <s v="Krista Gibson"/>
        <s v="Kimberly Gutierrez"/>
        <s v="Christina Dunn"/>
        <s v="Cynthia Moore"/>
        <s v="Brittany Cantu"/>
        <s v="Juan Reyes"/>
        <s v="Aaron Barber"/>
        <s v="Kimberly Gibson"/>
        <s v="Patrick Thornton"/>
        <s v="Leslie Kane"/>
        <s v="Matthew Moore"/>
        <s v="Sarah Phelps"/>
        <s v="Michael Mitchell"/>
        <s v="Michael Berger"/>
        <s v="Joseph Knight"/>
        <s v="Mr. David Little MD"/>
        <s v="Victoria Evans"/>
        <s v="Ashley James"/>
        <s v="Keith Jennings"/>
        <s v="Connor King"/>
        <s v="Jacob Anderson"/>
        <s v="Sherri Diaz"/>
        <s v="Julie Jones"/>
        <s v="James Baker"/>
        <s v="David Johnson"/>
        <s v="Elizabeth Ortiz"/>
        <s v="Stephen Taylor"/>
        <s v="Mary Bass"/>
        <s v="Jeremy Young"/>
        <s v="Walter Rush"/>
        <s v="Cameron Cunningham"/>
        <s v="Rachel Carlson"/>
        <s v="Ashley Delacruz"/>
        <s v="Derek Martinez"/>
        <s v="Ashley Gordon"/>
        <s v="John Morales"/>
        <s v="Ana Hill"/>
        <s v="Annette Miles"/>
        <s v="Jennifer Blair"/>
        <s v="Ronald Davis"/>
        <s v="Meagan Jenkins"/>
        <s v="Kenneth Lewis"/>
        <s v="Donald Perez"/>
        <s v="Donald Farmer"/>
        <s v="Patrick Bonilla"/>
        <s v="Eric Nguyen"/>
        <s v="Karla Ramos"/>
        <s v="Michael Watkins"/>
        <s v="Daniel Taylor"/>
        <s v="James Padilla"/>
        <s v="Shannon Johnston"/>
        <s v="Frederick Solis"/>
        <s v="Kevin Warren"/>
        <s v="Mark Schmidt"/>
        <s v="Craig Morrison"/>
        <s v="Thomas Cunningham"/>
        <s v="Mark Hogan"/>
        <s v="Ronald Jones"/>
        <s v="Nancy Williams"/>
        <s v="Robert Monroe"/>
        <s v="Kelly Bishop MD"/>
        <s v="Brandon Gregory"/>
        <s v="Sydney Collins"/>
        <s v="Erin Anderson"/>
        <s v="Trevor Peterson"/>
        <s v="Ashley Wise"/>
        <s v="Michael Weber"/>
        <s v="Lisa Goodwin"/>
        <s v="Travis Joyce"/>
        <s v="Ruth Solis"/>
        <s v="Michelle Black"/>
        <s v="Jeffrey Potts"/>
        <s v="Jonathan Young"/>
        <s v="Brenda Mitchell"/>
        <s v="Bobby Scott"/>
        <s v="Cynthia Martinez"/>
        <s v="Kathryn Herrera"/>
        <s v="Kenneth Lopez"/>
        <s v="Katie Smith"/>
        <s v="Austin Allen"/>
        <s v="Robin Thompson"/>
        <s v="Terri Johnson"/>
        <s v="Virginia Daniels"/>
        <s v="Evelyn Martinez"/>
        <s v="Kathleen Jimenez"/>
        <s v="Catherine Carter MD"/>
        <s v="Jeremy West"/>
        <s v="Mark Cox"/>
        <s v="Richard Diaz"/>
        <s v="Jacqueline Hines"/>
        <s v="Brian Fitzgerald"/>
        <s v="Cindy Carr"/>
        <s v="Jill Miller"/>
        <s v="Tammy Little"/>
        <s v="Allison Spencer"/>
        <s v="James Love"/>
        <s v="Joanna Frazier"/>
        <s v="Sheena Guerra"/>
        <s v="Todd Jacobson"/>
        <s v="Joseph Shaw"/>
        <s v="Lisa Kirby"/>
        <s v="Daniel Armstrong"/>
        <s v="Dr. Michael Evans"/>
        <s v="Lawrence Edwards"/>
        <s v="Ashley Allen"/>
        <s v="Sharon Barnes"/>
        <s v="Mr. Jonathan Parker Jr."/>
        <s v="Douglas Harper"/>
        <s v="Monica Gallagher"/>
        <s v="James Cole"/>
        <s v="William Grant"/>
        <s v="Andrew Reeves"/>
        <s v="Emily Long"/>
        <s v="Elizabeth Cabrera"/>
        <s v="Molly Watts"/>
        <s v="Carolyn Fuller"/>
        <s v="Jeremy Barnes"/>
        <s v="Nancy Brown"/>
        <s v="Emily Thompson"/>
        <s v="Edwin David"/>
        <s v="Timothy Pope"/>
        <s v="Regina Roberts"/>
        <s v="Cindy Clayton"/>
        <s v="Cynthia Williams"/>
        <s v="Ashlee Townsend"/>
        <s v="Curtis Maynard"/>
        <s v="Parker Jefferson"/>
        <s v="Paul Brennan"/>
        <s v="William Mitchell"/>
        <s v="Brian Martin"/>
        <s v="Laura Todd"/>
        <s v="James Davis"/>
        <s v="Jeremy Adams"/>
        <s v="Amy Wilson"/>
        <s v="Teresa Richardson"/>
        <s v="Lisa Perry"/>
        <s v="Angela Griffin"/>
        <s v="Christina Herrera"/>
        <s v="Katherine Nolan"/>
        <s v="Anthony Ford"/>
        <s v="Amber Cooper"/>
        <s v="Randy Cannon"/>
        <s v="Victor Baxter"/>
        <s v="Cameron Irwin"/>
        <s v="James Hall"/>
        <s v="Matthew Mendez"/>
        <s v="Shelby Sanchez"/>
        <s v="Donna Cabrera"/>
        <s v="Ms. Jennifer Hill"/>
        <s v="Megan Floyd"/>
        <s v="Joshua Allen"/>
        <s v="Tracy Grant"/>
        <s v="Sarah Davis"/>
        <s v="Laurie Powers"/>
        <s v="Colton Figueroa"/>
        <s v="Douglas Owens"/>
        <s v="William Harrison"/>
        <s v="Connie Thomas"/>
        <s v="David Hudson"/>
        <s v="Maria Henry"/>
        <s v="Thomas Weaver DDS"/>
        <s v="Mark Jones"/>
        <s v="Mary Jensen"/>
        <s v="Alan Bowen"/>
        <s v="Daisy Harvey"/>
        <s v="Judy Sanchez"/>
        <s v="James Tran"/>
        <s v="Erin Madden"/>
        <s v="Anthony Jones"/>
        <s v="Daniel Thomas"/>
        <s v="Sarah Rhodes"/>
        <s v="Jeffrey Roberson"/>
        <s v="Willie Henry"/>
        <s v="Angelica Montgomery"/>
        <s v="Madison Singh"/>
        <s v="Derrick Anderson"/>
        <s v="Hector Davis"/>
        <s v="Misty Hansen"/>
        <s v="Derrick Thomas"/>
        <s v="Tony Le"/>
        <s v="Travis Cook"/>
        <s v="Shannon Mccann"/>
        <s v="James Flores"/>
        <s v="Jenna Wilson"/>
        <s v="Nicholas Hahn"/>
        <s v="Eric King"/>
        <s v="Karen Morales DDS"/>
        <s v="Ashley Wright"/>
        <s v="Brett Walker"/>
        <s v="Brittany Cuevas"/>
        <s v="Grant Mueller"/>
        <s v="Eric Patrick"/>
        <s v="Kristen Rivera"/>
        <s v="Matthew Foster"/>
        <s v="Paul Stokes"/>
        <s v="Brian Lambert"/>
        <s v="Hannah Bruce"/>
        <s v="Cesar Wilson"/>
        <s v="Chad Reyes"/>
        <s v="Charles Edwards MD"/>
        <s v="Tracey Wagner"/>
        <s v="Bradley Johnson DDS"/>
        <s v="Krystal Barton"/>
        <s v="Holly Carson"/>
        <s v="Martha Wright"/>
        <s v="Oscar Norris"/>
        <s v="Kim Carlson"/>
        <s v="Scott Duke"/>
        <s v="Brandi Thomas"/>
        <s v="Lori Brooks"/>
        <s v="Sherry Gibson"/>
        <s v="Melissa Horn"/>
        <s v="Drew Kelley"/>
        <s v="Mark Copeland"/>
        <s v="Jessica Forbes DVM"/>
        <s v="Jacob Mckee"/>
        <s v="Brandon Davis"/>
        <s v="Michael Montoya"/>
        <s v="Robert Garcia"/>
        <s v="Justin Bishop"/>
        <s v="Lisa Ramos"/>
        <s v="Heather Jordan"/>
        <s v="Michelle Mitchell"/>
        <s v="Nicole Phillips"/>
        <s v="Alexandria Ward"/>
        <s v="Pamela Best"/>
        <s v="Tiffany Sanders"/>
        <s v="Joshua Jensen"/>
        <s v="Jeanette Walters"/>
        <s v="Audrey Salazar"/>
        <s v="Carla Benton"/>
        <s v="Alyssa Roman"/>
        <s v="Amy Villarreal"/>
        <s v="Jordan Williams"/>
        <s v="Shannon Tran"/>
        <s v="Blake Watson"/>
        <s v="Sharon Ayala"/>
        <s v="Justin Torres"/>
        <s v="Danielle Smith"/>
        <s v="April Sandoval"/>
        <s v="Valerie Thomas"/>
        <s v="Paul Carpenter"/>
        <s v="Matthew Anderson"/>
        <s v="Dillon Jones"/>
        <s v="John Russell"/>
        <s v="Bryan Moore"/>
        <s v="David Kelly"/>
        <s v="Krista Davis"/>
        <s v="Rodney Watson"/>
        <s v="Jill Anderson"/>
        <s v="Nathaniel Crawford"/>
        <s v="Jeremy Hernandez"/>
        <s v="Douglas Taylor"/>
        <s v="Kimberly Smith MD"/>
        <s v="Devin Johnson"/>
        <s v="Pamela Key"/>
        <s v="Sylvia Brown"/>
        <s v="Kevin Drake"/>
        <s v="Travis Copeland"/>
        <s v="Kyle Smith"/>
        <s v="Sarah Morris"/>
        <s v="Jacqueline Mcmahon"/>
        <s v="Morgan Kim"/>
        <s v="Jamie Gross"/>
        <s v="Evan Lamb"/>
        <s v="Cynthia Haas"/>
        <s v="Gabriela Smith"/>
        <s v="Amber Kim"/>
        <s v="Ashley Mendoza"/>
        <s v="Trevor Jones"/>
        <s v="William Barry"/>
        <s v="Daniel Lee"/>
        <s v="Joshua Henry"/>
        <s v="Christina Johnson"/>
        <s v="James Burns"/>
        <s v="Jaclyn Griffin"/>
        <s v="Paul Contreras"/>
        <s v="Sara Cardenas"/>
        <s v="Steven Klein"/>
        <s v="Rhonda Martinez"/>
        <s v="Deanna Bartlett"/>
        <s v="Shane Buchanan"/>
        <s v="Traci Garcia"/>
        <s v="Matthew Armstrong"/>
        <s v="Melissa Williams"/>
        <s v="Robert Turner"/>
        <s v="Jessica Petersen"/>
        <s v="Jennifer Washington"/>
        <s v="Jennifer Deleon"/>
        <s v="Thomas Bush"/>
        <s v="Melanie Allen"/>
        <s v="Christopher Kline"/>
        <s v="Maria Byrd"/>
        <s v="Carlos Thompson"/>
        <s v="Judy Robinson"/>
        <s v="Dr. Sara Hoffman DDS"/>
        <s v="Margaret Hensley MD"/>
        <s v="Francisco Taylor"/>
        <s v="Andrew Erickson"/>
        <s v="Karen Shepard"/>
        <s v="Patrick Hardy"/>
        <s v="Seth Fisher"/>
        <s v="Sean Silva"/>
        <s v="Jennifer Pitts"/>
        <s v="Victoria Thomas"/>
        <s v="Anthony Hayes"/>
        <s v="Jeffrey Jordan"/>
        <s v="Jake Smith"/>
        <s v="Danielle Steele"/>
        <s v="Austin Williams"/>
        <s v="Whitney Cooper"/>
        <s v="Nicholas Anderson"/>
        <s v="Martin Wise"/>
        <s v="James Kelley"/>
        <s v="Mary Nelson"/>
        <s v="Brian Rodriguez"/>
        <s v="Jason Martin"/>
        <s v="Brandon Rodriguez"/>
        <s v="Maria Bryant"/>
        <s v="Heather Rhodes"/>
        <s v="Carolyn Howard"/>
        <s v="James Rivers"/>
        <s v="Michael Brown"/>
        <s v="James Howard"/>
        <s v="Jessica Brown"/>
        <s v="Melissa Montgomery"/>
        <s v="Ronald Mcclain"/>
        <s v="Angela Vasquez"/>
        <s v="Jamie Montoya"/>
        <s v="Bryan Jimenez"/>
        <s v="Marcia Wu"/>
        <s v="Sarah Rivera"/>
        <s v="Courtney Peterson"/>
        <s v="Rodney Newton MD"/>
        <s v="Richard Love"/>
        <s v="Tina Taylor"/>
        <s v="Priscilla Kent"/>
        <s v="Erica Keith"/>
        <s v="Jodi Anderson"/>
        <s v="Michelle Walls"/>
        <s v="Brandi Page"/>
        <s v="Kristina Aguilar"/>
        <s v="Allison Thomas"/>
        <s v="Antonio Mueller"/>
        <s v="Megan Hoffman"/>
        <s v="Rebecca Roberts"/>
        <s v="Sean Dalton"/>
        <s v="Christopher Fleming"/>
        <s v="Justin Anderson"/>
        <s v="Linda Ayala"/>
        <s v="Tina Meyer"/>
        <s v="Daniel Rivera"/>
        <s v="Gregory Allen"/>
        <s v="Joshua Campbell"/>
        <s v="Matthew Flores"/>
        <s v="Michael Ayala"/>
        <s v="Teresa Burgess"/>
        <s v="Christopher King"/>
        <s v="Jessica Smith"/>
        <s v="Jonathan Roberts"/>
        <s v="Amanda Moore"/>
        <s v="Stephen Sanford"/>
        <s v="Kyle Medina"/>
        <s v="Clinton Jensen"/>
        <s v="Angel Powers"/>
        <s v="Matthew Garcia"/>
        <s v="Brittany Knight"/>
        <s v="Michelle Davidson"/>
        <s v="Raymond Tucker"/>
        <s v="Nicholas Sims"/>
        <s v="Kristen Stephens"/>
        <s v="Leah Vincent"/>
        <s v="Mary Charles"/>
        <s v="Krystal Brennan"/>
        <s v="Crystal Baker"/>
        <s v="Jesse Williams"/>
        <s v="Laura Bennett"/>
        <s v="Courtney Sullivan"/>
        <s v="David Robertson"/>
        <s v="Bailey Hall"/>
        <s v="Maria Jenkins"/>
        <s v="Stephanie Thomas"/>
        <s v="Marcia Johns"/>
        <s v="Carolyn Greer"/>
        <s v="Nathaniel Cooper"/>
        <s v="Alan Mills"/>
        <s v="Sherry Schmidt"/>
        <s v="Jacqueline Williams"/>
        <s v="Susan Hood"/>
        <s v="Kimberly Scott"/>
        <s v="Matthew Watts"/>
        <s v="Scott Henderson"/>
        <s v="Karen Wood"/>
        <s v="Sarah Hopkins"/>
        <s v="Rachel Owen"/>
        <s v="Bobby Johnson"/>
        <s v="Raymond Thompson"/>
        <s v="Kyle Black"/>
        <s v="Vanessa Miller"/>
        <s v="Adrian Padilla"/>
        <s v="Victor Gibson"/>
        <s v="Benjamin Phillips"/>
        <s v="Tracy Hart"/>
        <s v="Shannon Olson"/>
        <s v="Kelli Smith"/>
        <s v="Timothy Woods"/>
        <s v="Mr. Nicolas Salas II"/>
        <s v="Blake Sosa"/>
        <s v="Katherine Galloway"/>
        <s v="Bethany Fox"/>
        <s v="Michael Thompson"/>
        <s v="Brian Ward"/>
        <s v="Grace White"/>
        <s v="Kenneth Krause"/>
        <s v="James Thomas"/>
        <s v="Steven Mccoy"/>
        <s v="Brett Martin"/>
        <s v="Isaac Grant"/>
        <s v="Kenneth Banks"/>
        <s v="Dr. Steve James"/>
        <s v="Logan Sullivan"/>
        <s v="Lisa Foster"/>
        <s v="Scott Martinez"/>
        <s v="Brendan Zuniga"/>
        <s v="Luke Miller"/>
        <s v="Joseph Jackson"/>
        <s v="Kimberly Taylor"/>
        <s v="Emily Reed"/>
        <s v="Eric Smith"/>
        <s v="Karen Smith"/>
        <s v="Stephen Kim"/>
        <s v="Jay Allen"/>
        <s v="Catherine Roberts"/>
        <s v="Anthony Nichols"/>
        <s v="Crystal Hernandez"/>
        <s v="Rick Rivera"/>
        <s v="Corey Skinner"/>
        <s v="Zachary Gonzalez"/>
        <s v="Caitlin Chandler"/>
        <s v="Claudia Rodriguez"/>
        <s v="David Novak"/>
        <s v="Brandon Montgomery"/>
        <s v="Eugene Grant DDS"/>
        <s v="Chad Roach"/>
        <s v="Cody Bailey"/>
        <s v="Edward Baker"/>
        <s v="Lisa Diaz"/>
        <s v="Pamela Moore"/>
        <s v="Amanda Pace"/>
        <s v="Kenneth Huff"/>
        <s v="Mitchell Smith"/>
        <s v="Justin Hurley"/>
        <s v="Sandra Miller"/>
        <s v="Joseph Wright"/>
        <s v="Laura Craig"/>
        <s v="Mary Ferguson"/>
        <s v="Jessica Swanson"/>
        <s v="Jesse Moyer"/>
        <s v="Elizabeth Evans MD"/>
        <s v="Brittney Johnson"/>
        <s v="Robert Davis"/>
        <s v="Carrie Petersen"/>
        <s v="Felicia Hobbs"/>
        <s v="Madison Chen"/>
        <s v="Brittany Nunez"/>
        <s v="Richard Hernandez"/>
        <s v="James Hamilton"/>
        <s v="Christina Gilbert"/>
        <s v="Michael Henderson"/>
        <s v="Lisa Branch MD"/>
        <s v="Nicholas Miller"/>
        <s v="Ashley Cole"/>
        <s v="Deanna Webb"/>
        <s v="Kelsey Scott"/>
        <s v="Matthew Alvarado"/>
        <s v="James Bray"/>
        <s v="Judith House"/>
        <s v="Christopher Reed"/>
        <s v="Lori Johns"/>
        <s v="Anita Reyes"/>
        <s v="Erin Daniels"/>
        <s v="Stephanie Browning"/>
        <s v="Tiffany Wilson"/>
        <s v="Elizabeth Reese"/>
        <s v="William Jensen"/>
        <s v="Karen Shaw"/>
        <s v="Christopher Perez"/>
        <s v="Virginia Todd"/>
        <s v="Stacy Patterson"/>
        <s v="Laura Herrera"/>
        <s v="Victoria Williams"/>
        <s v="Eric Carey"/>
        <s v="Julie Lucas"/>
        <s v="Alexander Chavez"/>
        <s v="Becky Wilson"/>
        <s v="Vanessa Salazar"/>
        <s v="Mary Hernandez"/>
        <s v="Randy Griffin"/>
        <s v="Alexandria Jimenez"/>
        <s v="Karen Ortiz"/>
        <s v="Samantha Williams"/>
        <s v="Sara Evans"/>
        <s v="Melissa Larson"/>
        <s v="Erica Merritt"/>
        <s v="Michael Hill"/>
        <s v="Lori Benitez"/>
        <s v="Kenneth Hanson"/>
        <s v="Dr. Stephen Hall IV"/>
        <s v="Christine Gilbert"/>
        <s v="Martin Vaughn"/>
        <s v="Aaron Jennings"/>
        <s v="George Chambers"/>
        <s v="Sean Huang"/>
        <s v="Megan Peters"/>
        <s v="Andre Terrell"/>
        <s v="Nicole Thornton"/>
        <s v="Jacqueline Gallegos"/>
        <s v="Paula Gentry"/>
        <s v="John Russo"/>
        <s v="Andrew Hughes"/>
        <s v="Ashley Miranda"/>
        <s v="Donald Flores"/>
        <s v="Tyler Castro"/>
        <s v="Regina Andrews"/>
        <s v="Allen Berger"/>
        <s v="Stephanie Soto"/>
        <s v="Thomas Duran"/>
        <s v="Matthew Miranda"/>
        <s v="Jenna Lyons"/>
        <s v="Brian Mendoza"/>
        <s v="Miguel Rodriguez"/>
        <s v="David Moore"/>
        <s v="William Bradley"/>
        <s v="Michelle Copeland"/>
        <s v="Jared George"/>
        <s v="Stephanie Fields"/>
        <s v="Kenneth Gonzalez"/>
        <s v="Lauren Carr DDS"/>
        <s v="Justin Irwin"/>
        <s v="Evan Reyes"/>
        <s v="James Middleton"/>
        <s v="Brianna Dyer"/>
        <s v="Stephanie Dominguez"/>
        <s v="Janice Perez"/>
        <s v="Debra House"/>
        <s v="John Vaughn"/>
        <s v="Steve Davis"/>
        <s v="Kimberly Smith"/>
        <s v="Thomas Curry"/>
        <s v="Dorothy Mclaughlin"/>
        <s v="Luis Hill"/>
        <s v="Jacqueline Thompson"/>
        <s v="Dr. Linda Underwood"/>
        <s v="Carol Lane"/>
        <s v="John Alvarez"/>
        <s v="Seth Smith"/>
        <s v="Joseph Gomez"/>
        <s v="Dawn Silva"/>
        <s v="Wendy Edwards"/>
        <s v="Melissa Bell"/>
        <s v="Kristopher Shannon"/>
        <s v="Matthew Yoder"/>
        <s v="Angela Chavez"/>
        <s v="Antonio Price"/>
        <s v="Timothy Bishop Jr."/>
        <s v="Susan Baldwin"/>
        <s v="Brittany Bowman"/>
        <s v="Michael Wise"/>
        <s v="Sabrina Olson"/>
        <s v="Maria Diaz DVM"/>
        <s v="Andrew Cruz"/>
        <s v="Dr. Jeffrey Lopez"/>
        <s v="Joshua Parker"/>
        <s v="Nathan Sullivan"/>
        <s v="Kerry Buckley"/>
        <s v="Matthew Smith"/>
        <s v="Amy Roth"/>
        <s v="Russell Rojas"/>
        <s v="Leslie Rogers"/>
        <s v="Jessica Frost"/>
        <s v="Adam Howe"/>
        <s v="Kelly Jenkins"/>
        <s v="Anita Serrano"/>
        <s v="Dr. Lisa Huffman"/>
        <s v="Robert Jennings"/>
        <s v="Jeffrey Cook"/>
        <s v="Karina Wilson"/>
        <s v="Stephanie Hall"/>
        <s v="Angel Richards"/>
        <s v="Nathan Chen"/>
        <s v="Chad York"/>
        <s v="Robert Cisneros"/>
        <s v="Katherine Forbes"/>
        <s v="Danielle Murphy"/>
        <s v="John Mack"/>
        <s v="Justin Smith"/>
        <s v="Ann Castillo"/>
        <s v="Shelly Sullivan"/>
        <s v="Elizabeth Mullins"/>
        <s v="Susan Cox"/>
        <s v="Justin Jones"/>
        <s v="Nancy Goodwin"/>
        <s v="Kathy Henderson"/>
        <s v="Julie Patel"/>
        <s v="James White"/>
        <s v="Kelly Burton"/>
        <s v="Oscar Smith"/>
        <s v="Grant Lucas"/>
        <s v="Stephanie Parker"/>
        <s v="Jesus Jackson"/>
        <s v="Bruce Chaney"/>
        <s v="Mary Spence"/>
        <s v="Alexander Velazquez"/>
        <s v="Erin Thornton"/>
        <s v="Michael Wilson"/>
        <s v="Lee Lee"/>
        <s v="Samuel Rhodes"/>
        <s v="Amy Estrada"/>
        <s v="Gregory Parker"/>
        <s v="Jennifer Ramos"/>
        <s v="Kevin Miller"/>
        <s v="Leslie Bennett"/>
        <s v="Keith Melendez"/>
        <s v="Ronald Davenport"/>
        <s v="Eric Davidson"/>
        <s v="Maria Johnson"/>
        <s v="Sheena Burton"/>
        <s v="David Perkins"/>
        <s v="Isaac Fields"/>
        <s v="Pamela White"/>
        <s v="Michael Cox"/>
        <s v="John Peterson"/>
        <s v="Kristin Norris"/>
        <s v="Eric Cox"/>
        <s v="Robert Walker"/>
        <s v="Mrs. Pamela Rodriguez"/>
        <s v="Matthew Watkins"/>
        <s v="Nicole Patton"/>
        <s v="Charles Francis"/>
        <s v="Lisa Wagner"/>
        <s v="Carolyn Webster"/>
        <s v="Kevin Gonzales"/>
        <s v="Brian Rollins"/>
        <s v="Amanda Murphy"/>
        <s v="William Patterson"/>
        <s v="Jennifer Mills"/>
        <s v="William Morgan"/>
        <s v="Nicole Owen"/>
        <s v="Jesse Martinez"/>
        <s v="Kathleen Johnson"/>
        <s v="Anne Jones"/>
        <s v="Dennis Cooper PhD"/>
        <s v="James Stevens"/>
        <s v="Mike Freeman"/>
        <s v="Katie Myers"/>
        <s v="Kevin Anderson"/>
        <s v="Jeffrey Braun"/>
        <s v="Susan Jones"/>
        <s v="Matthew Henderson"/>
        <s v="Erica Davis"/>
        <s v="Mary Jackson"/>
        <s v="Rachel Pittman"/>
        <s v="Lori Rubio"/>
        <s v="Robert Pearson"/>
        <s v="Jason King"/>
        <s v="Shari Ray"/>
        <s v="Lisa Hammond"/>
        <s v="David Francis"/>
        <s v="Jason Colon"/>
        <s v="Corey Sanchez"/>
        <s v="Dominic Johnson"/>
        <s v="Amy Mosley"/>
        <s v="Ryan Cameron"/>
        <s v="Lauren Hampton"/>
        <s v="Emily Collier"/>
        <s v="Daniel Hill"/>
        <s v="Travis Stewart"/>
        <s v="Jacob Parker"/>
        <s v="Mark Haynes"/>
        <s v="Tabitha Turner"/>
        <s v="Robert Newman"/>
        <s v="Faith Henderson"/>
        <s v="Nicholas Kelley"/>
        <s v="Rachel Taylor"/>
        <s v="David Reeves"/>
        <s v="Nicholas Green"/>
        <s v="Shawn Duffy"/>
        <s v="Michael Jackson"/>
        <s v="Keith Smith"/>
        <s v="Cheryl Atkins"/>
        <s v="Lindsay Carney"/>
        <s v="Alyssa Cherry"/>
        <s v="Judith Smith"/>
        <s v="Michelle Fitzgerald"/>
        <s v="Kaitlin Gomez"/>
        <s v="Steven Williams"/>
        <s v="Evan Moreno"/>
        <s v="Sandy Adkins"/>
        <s v="Christopher Doyle"/>
        <s v="Michael Graham"/>
        <s v="Nathan Hernandez"/>
        <s v="Kristine Alvarado"/>
        <s v="Thomas Sanchez"/>
        <s v="Kevin Bean"/>
        <s v="Tyler Wheeler"/>
        <s v="Scott Solis"/>
        <s v="James Thompson"/>
        <s v="Paul Valdez"/>
        <s v="Max Collier"/>
        <s v="Jenny Avila"/>
        <s v="Valerie Rhodes"/>
        <s v="Bob Solis"/>
        <s v="Keith Arnold"/>
        <s v="Laura King"/>
        <s v="Clarence Long"/>
        <s v="Joanna Morton"/>
        <s v="Lindsey Savage"/>
        <s v="John Holt"/>
        <s v="Adrian Rodriguez"/>
        <s v="Jessica Garrett"/>
        <s v="Bruce Barrera"/>
        <s v="Edward Gallegos"/>
        <s v="Sarah Mclaughlin"/>
        <s v="Taylor Stein"/>
        <s v="Kristen Adams"/>
        <s v="Jeffrey Martin"/>
        <s v="Melinda Dorsey"/>
        <s v="Rebecca Richard"/>
        <s v="Curtis Obrien"/>
        <s v="Yvonne Howard"/>
        <s v="Gail Wilson"/>
        <s v="Patricia Carrillo"/>
        <s v="Jessica Bryant"/>
        <s v="Bruce Harris"/>
        <s v="Annette Holland"/>
        <s v="Adriana Davenport"/>
        <s v="Paul Ward"/>
        <s v="Jeffrey Hardin"/>
        <s v="Adam Drake"/>
        <s v="Andrew Nielsen"/>
        <s v="Michael Spencer"/>
        <s v="Lisa Thomas"/>
        <s v="Rachael Sullivan"/>
        <s v="Natalie Martinez"/>
        <s v="Caitlin Johnson"/>
        <s v="Sarah Green"/>
        <s v="Jody Bird"/>
        <s v="Samantha Ward"/>
        <s v="Carlos Lewis"/>
        <s v="Mallory Barajas"/>
        <s v="Michael Anderson"/>
        <s v="Jaclyn Crane"/>
        <s v="Jacob Ritter"/>
        <s v="Timothy Torres"/>
        <s v="Seth Butler"/>
        <s v="Charles Fields"/>
        <s v="Jennifer Hall"/>
        <s v="Sharon Mann"/>
        <s v="Nina Bernard"/>
        <s v="Albert Buchanan"/>
        <s v="Jennifer Williams"/>
        <s v="Brandon Petty"/>
        <s v="Jason Jackson"/>
        <s v="Jason Nguyen"/>
        <s v="Laurie Vasquez"/>
        <s v="Ana Johnson"/>
        <s v="Beth Carroll"/>
        <s v="Carol Sanchez"/>
        <s v="Tonya Oliver"/>
        <s v="Michael Kidd"/>
        <s v="Kristine Turner"/>
        <s v="Tina Flores"/>
        <s v="Joe Greene"/>
        <s v="Jennifer Woodard"/>
        <s v="Stephanie Cabrera"/>
        <s v="Ryan Cain"/>
        <s v="Olivia Becker"/>
        <s v="Amanda Vasquez"/>
        <s v="Kathleen Arnold"/>
        <s v="Savannah Ibarra"/>
        <s v="Sonya Smith"/>
        <s v="Michael Owens"/>
        <s v="Kim Stewart"/>
        <s v="Jessica Jones"/>
        <s v="Alyssa Reynolds"/>
        <s v="Tyler Wall"/>
        <s v="Brendan Griffin"/>
        <s v="Amy Lang"/>
        <s v="Elizabeth James"/>
        <s v="Jeffrey Oliver"/>
        <s v="Ashley Smith"/>
        <s v="Jason Hardy"/>
        <s v="Jeffrey Moyer"/>
        <s v="Grant Wood"/>
        <s v="Kristin Brown"/>
        <s v="Michael Christian"/>
        <s v="Richard Williams"/>
        <s v="John Tate"/>
        <s v="Adriana Smith"/>
        <s v="Kevin Cannon"/>
        <s v="Gina Spencer"/>
        <s v="Breanna Pena"/>
        <s v="Mary Pugh"/>
        <s v="Cheryl Gray"/>
        <s v="Sarah Phillips"/>
        <s v="Stacey Clark"/>
        <s v="Maria Hicks"/>
        <s v="Karen Sosa"/>
        <s v="Jodi Young"/>
        <s v="Jacqueline Pierce"/>
        <s v="Andrew Hunt"/>
        <s v="Emily Reyes"/>
        <s v="Jonathan Payne"/>
        <s v="Joshua Cook"/>
        <s v="Dr. Nicole Singh DVM"/>
        <s v="Alexandra Valdez"/>
        <s v="Jose Hartman"/>
        <s v="Jessica Mcmahon"/>
        <s v="Bethany Harding"/>
        <s v="Paul Farmer"/>
        <s v="Wendy Carroll"/>
        <s v="John Murphy"/>
        <s v="Cassandra Serrano"/>
        <s v="Eddie Warren"/>
        <s v="Jennifer Moore"/>
        <s v="Daniel Reynolds"/>
        <s v="Melinda Hill"/>
        <s v="Sherry Stevens"/>
        <s v="Rodney Horn"/>
        <s v="Anna Hale"/>
        <s v="Thomas Wolfe"/>
        <s v="Kathy Chan"/>
        <s v="Benjamin Neal"/>
        <s v="Brian Stark"/>
        <s v="Matthew Reeves"/>
        <s v="Cassandra Martinez"/>
        <s v="Daniel Johnson"/>
        <s v="Eric Williams"/>
        <s v="Alan Johnson"/>
        <s v="Amanda Hunt"/>
        <s v="Barbara Lewis"/>
        <s v="Daniel Robinson"/>
        <s v="Randall Porter"/>
        <s v="Vicki Horton"/>
        <s v="Alan Barr"/>
        <s v="Luis Mosley"/>
        <s v="James Phillips"/>
        <s v="Jill Wiley MD"/>
        <s v="Crystal Quinn"/>
        <s v="Melissa Walker"/>
        <s v="John Mckay"/>
        <s v="Sandra Frederick"/>
        <s v="Danielle Thompson"/>
        <s v="Richard Miller"/>
        <s v="Nancy Wolf"/>
        <s v="Brittany Barber"/>
        <s v="Karen Cook"/>
        <s v="Jacqueline Sullivan"/>
        <s v="Leah Ortiz"/>
        <s v="Patricia Walton"/>
        <s v="Tammy Fitzgerald"/>
        <s v="Maria Green"/>
        <s v="Mary Martin"/>
        <s v="Angela Kent"/>
        <s v="Kim Tanner"/>
        <s v="Haley Thomas"/>
        <s v="April Jones"/>
        <s v="Michael Gonzalez"/>
        <s v="Anthony White"/>
        <s v="Ashley Fields"/>
        <s v="David Washington"/>
        <s v="Adrienne Morrison"/>
        <s v="Michael Cooper"/>
        <s v="Henry Rivera"/>
        <s v="Joseph Tapia"/>
        <s v="April Little"/>
        <s v="Cynthia Washington"/>
        <s v="Cory Thomas"/>
        <s v="Mrs. Stephanie Friedman"/>
        <s v="Mary Davis"/>
        <s v="Connie Scott"/>
        <s v="Ann Holt"/>
        <s v="Mitchell Fitzgerald"/>
        <s v="Earl Rodriguez"/>
        <s v="Erik James"/>
        <s v="Jacob Shelton"/>
        <s v="Samuel Stewart"/>
        <s v="Paul Sweeney"/>
        <s v="Ronald Simpson"/>
        <s v="Taylor Walker"/>
        <s v="Kimberly Rogers DDS"/>
        <s v="Thomas Haynes"/>
        <s v="Christopher Taylor"/>
        <s v="Alexa Barber"/>
        <s v="Anne Mccann"/>
        <s v="Tracy Sims"/>
        <s v="Kyle Thompson"/>
        <s v="Matthew Richardson"/>
        <s v="Victoria Mendoza"/>
        <s v="Calvin Nguyen"/>
        <s v="Rachel Moreno"/>
        <s v="Kyle White"/>
        <s v="Christopher Hart"/>
        <s v="William Barrett"/>
        <s v="Kenneth Neal"/>
        <s v="Amanda Johnson"/>
        <s v="Leslie Ramirez"/>
        <s v="Bradley King"/>
        <s v="Debra Schultz"/>
        <s v="Christian Riddle"/>
        <s v="Melinda Russell"/>
        <s v="Courtney Smith"/>
        <s v="Nicholas Parker"/>
        <s v="Stephanie Jackson"/>
        <s v="Adam Palmer"/>
        <s v="Nicholas Villegas"/>
        <s v="Dr. Kathryn Hill"/>
        <s v="Jennifer Edwards"/>
        <s v="Patrick Spencer"/>
        <s v="Breanna Jimenez"/>
        <s v="Nicole Sanchez"/>
        <s v="Ryan Palmer"/>
        <s v="Danielle Ryan"/>
        <s v="Laura Robinson"/>
        <s v="Amy Smith"/>
        <s v="Charlotte Gomez"/>
        <s v="Thomas Smith"/>
        <s v="Clarence Cain"/>
        <s v="Abigail Stephenson"/>
        <s v="Gary Johnson"/>
        <s v="Jon Maldonado Jr."/>
        <s v="Beth Cooper"/>
        <s v="Jessica Roberts"/>
        <s v="Chelsea Campbell"/>
        <s v="Rhonda Haynes"/>
        <s v="Andrew Mooney"/>
        <s v="Joseph Graves"/>
        <s v="Anthony Rodriguez"/>
        <s v="Catherine Smith"/>
        <s v="David Henry"/>
        <s v="Bianca Ward"/>
        <s v="Donald Silva"/>
        <s v="Jeremy Garcia"/>
        <s v="Corey Pierce"/>
        <s v="Autumn Graham"/>
        <s v="Walter Roberts"/>
        <s v="Valerie Martin"/>
        <s v="Aaron Armstrong"/>
        <s v="Elizabeth Adams"/>
        <s v="Teresa Ramirez"/>
        <s v="Christine Wilson DDS"/>
        <s v="Logan Nguyen"/>
        <s v="Wesley Medina"/>
        <s v="Christine Ramos"/>
        <s v="Nicholas Richardson"/>
        <s v="John Blair"/>
        <s v="Charles Simmons"/>
        <s v="Paul Smith"/>
        <s v="Randy Adams"/>
        <s v="John Hart"/>
        <s v="Joshua Adams"/>
        <s v="Jennifer Smith"/>
        <s v="Courtney Koch"/>
        <s v="Tyler Campbell"/>
        <s v="Jeffrey Rogers"/>
        <s v="Brian Hendricks"/>
        <s v="James Griffith"/>
        <s v="Frank Anderson"/>
        <s v="Mallory Taylor"/>
        <s v="Joshua Hall Jr."/>
        <s v="Xavier Smith"/>
        <s v="Sharon Fuentes"/>
        <s v="Amy Taylor"/>
        <s v="Mary Jones"/>
        <s v="Keith Cervantes"/>
        <s v="Nathan Wallace"/>
        <s v="Alexandra Wall"/>
        <s v="Christopher Dudley"/>
        <s v="James Carson"/>
        <s v="Carmen Pratt"/>
        <s v="Sarah Johnson"/>
        <s v="Theodore Lopez"/>
        <s v="Krystal Elliott"/>
        <s v="Dr. Tina Porter"/>
        <s v="Steven Gordon"/>
        <s v="Amanda Martin"/>
        <s v="Candace Stuart"/>
        <s v="Teresa Williams"/>
        <s v="Anne Smith PhD"/>
        <s v="Timothy Martin"/>
        <s v="Julia Andersen"/>
        <s v="Jack Mitchell MD"/>
        <s v="Katie Baker"/>
        <s v="Samuel Roberts"/>
        <s v="Maureen Bailey"/>
        <s v="Sylvia Nielsen"/>
        <s v="Katelyn Park DDS"/>
        <s v="Erica Johnson"/>
        <s v="Sean Cisneros"/>
        <s v="Brad Russo"/>
        <s v="Anthony Jacobson"/>
        <s v="Karen Nichols"/>
        <s v="Linda Miller"/>
        <s v="Taylor Porter"/>
        <s v="Terri Mathews DDS"/>
        <s v="Lindsay Robinson"/>
        <s v="Steven Shaw"/>
        <s v="Joshua Mills"/>
        <s v="Kurt Daniels"/>
        <s v="Susan Garcia"/>
        <s v="Paul Hanson"/>
        <s v="Christy Frank"/>
        <s v="Robert Padilla"/>
        <s v="Matthew Parker"/>
        <s v="Richard Randall"/>
        <s v="Cheryl Newman"/>
        <s v="Carrie Strong"/>
        <s v="Rachel Cameron"/>
        <s v="Jeffrey Fuller"/>
        <s v="Nicholas Lucero"/>
        <s v="Molly Roman"/>
        <s v="Margaret Riley"/>
        <s v="Christopher Jones"/>
        <s v="Jennifer Tucker"/>
        <s v="Keith Obrien"/>
        <s v="Brooke Harmon"/>
        <s v="Cindy Diaz"/>
        <s v="John Ashley"/>
        <s v="Travis Nielsen"/>
        <s v="Laurie Martin"/>
        <s v="Rose Dean"/>
        <s v="Joanna Preston"/>
        <s v="Christopher Morris"/>
        <s v="Richard Martinez"/>
        <s v="Stephanie Hoffman"/>
        <s v="Michelle Shah"/>
        <s v="Anthony Snyder"/>
        <s v="James Ray"/>
        <s v="Walter Johnson"/>
        <s v="Denise Molina"/>
        <s v="Michael Gibson"/>
        <s v="Brenda Holder"/>
        <s v="Amy Ware"/>
        <s v="Rebecca Gray"/>
        <s v="Nicole Barron"/>
        <s v="Mary Bray"/>
        <s v="Michelle Gomez"/>
        <s v="Johnny Lewis"/>
        <s v="Robert Gill"/>
        <s v="Ashley Anderson"/>
        <s v="Donald Martin"/>
        <s v="Natasha Allen"/>
        <s v="Derek Mcintosh"/>
        <s v="Amy Nelson"/>
        <s v="Kirk Moreno"/>
        <s v="Colleen Brown"/>
        <s v="Manuel Baldwin"/>
        <s v="Dalton Walsh"/>
        <s v="Eric Knox"/>
        <s v="Jesse Rivers"/>
        <s v="Philip Smith"/>
        <s v="Andrew Smith"/>
        <s v="Ariel Lara"/>
        <s v="Jimmy Carey"/>
        <s v="Monica Smith"/>
        <s v="Patrick Mcpherson"/>
        <s v="Donald Sims"/>
        <s v="Jeanne Butler"/>
        <s v="Barbara Pope"/>
        <s v="Chris Levy"/>
        <s v="Daniel Petersen"/>
        <s v="Chad Koch"/>
        <s v="Thomas Carter"/>
        <s v="Annette Green"/>
        <s v="Brenda Saunders"/>
        <s v="Keith Fuller"/>
        <s v="Melissa Gordon"/>
        <s v="Thomas Johnson"/>
        <s v="Bethany Daniels"/>
        <s v="Phillip Holmes"/>
        <s v="Krystal Vaughn"/>
        <s v="Kristina Coffey"/>
        <s v="William Smith"/>
        <s v="Spencer Meyer"/>
        <s v="Timothy Evans"/>
        <s v="Lisa Reynolds"/>
        <s v="John Roberts"/>
        <s v="Robert Hernandez"/>
        <s v="Matthew Barry"/>
        <s v="William Howard"/>
        <s v="Matthew Bell"/>
        <s v="Andrea Franco"/>
        <s v="Kelly Anderson"/>
        <s v="Andrea Johnson"/>
        <s v="David Ingram"/>
        <s v="Jennifer Brown"/>
        <s v="Alyssa Thompson"/>
        <s v="Michael Perez DDS"/>
        <s v="Mary Harris"/>
        <s v="Gina Fleming"/>
        <s v="Steven Castaneda"/>
        <s v="Joseph Garcia"/>
        <s v="Donna Clayton"/>
        <s v="Dana Holmes"/>
        <s v="Victoria Delgado"/>
        <s v="Robert Rivera"/>
        <s v="Linda Salazar"/>
        <s v="Jonathan Perez"/>
        <s v="Richard Gonzalez"/>
        <s v="Melissa Jordan"/>
        <s v="Mrs. Cheryl Kim"/>
        <s v="Stacy Mcguire"/>
        <s v="Christopher Williams"/>
        <s v="Matthew Douglas"/>
        <s v="Shannon Wallace"/>
        <s v="Debra Wolfe"/>
        <s v="Chad Daugherty"/>
        <s v="Rachel Johnson"/>
        <s v="Mr. Donald Cruz PhD"/>
        <s v="Andrew Harris"/>
        <s v="Phillip Pineda"/>
        <s v="Lisa Glenn"/>
        <s v="Nathan Mack"/>
        <s v="Adrian Marsh"/>
        <s v="Luis Ward"/>
        <s v="Sara Abbott"/>
        <s v="Karen Richard"/>
        <s v="Tiffany Alexander"/>
        <s v="Christopher Pitts"/>
        <s v="Lauren Williams"/>
        <s v="Shannon Gomez"/>
        <s v="Billy Harris"/>
        <s v="Briana Nguyen"/>
        <s v="Caitlin Williams"/>
        <s v="Natalie Logan"/>
        <s v="Zachary Miller"/>
        <s v="Kelsey Williams"/>
        <s v="Kenneth Bartlett"/>
        <s v="Shirley Cox"/>
        <s v="Joann Barnes"/>
        <s v="Lisa Flynn"/>
        <s v="Ms. Mackenzie Barton"/>
        <s v="Michelle Harrison"/>
        <s v="Brandi Camacho DVM"/>
        <s v="Steven Villanueva"/>
        <s v="Ruben Roberts"/>
        <s v="Linda Wood"/>
        <s v="Raymond Hall"/>
        <s v="Tanya Mitchell"/>
        <s v="Donald Hobbs"/>
        <s v="Jeffrey Mcclure"/>
        <s v="Daniel Roberson"/>
        <s v="Adriana Wall"/>
        <s v="Sandra Phillips"/>
        <s v="Sean Kaiser"/>
        <s v="Desiree Mccoy"/>
        <s v="Ryan Guerrero"/>
        <s v="Connie Gonzalez"/>
        <s v="Shawn Tapia"/>
        <s v="Christopher Barnes"/>
        <s v="Mr. Christopher Evans"/>
        <s v="Kimberly Phillips"/>
        <s v="Matthew Wilson"/>
        <s v="Patricia Webb"/>
        <s v="Stacy Patton"/>
        <s v="Jessica Green"/>
        <s v="Jason Armstrong"/>
        <s v="Larry Smith"/>
        <s v="Kelly Cox"/>
        <s v="Christopher Brooks"/>
        <s v="Kelsey Mason"/>
        <s v="Melissa Johnson"/>
        <s v="Angela Wagner"/>
        <s v="Cheyenne Obrien"/>
        <s v="Jimmy Garcia"/>
        <s v="Karen Velez"/>
        <s v="Pamela Klein"/>
        <s v="Justin Day"/>
        <s v="Tom Watkins"/>
        <s v="Amy Snyder"/>
        <s v="Linda Savage"/>
        <s v="Matthew Morris"/>
        <s v="Peter Martin"/>
        <s v="Robert Freeman"/>
        <s v="Shirley Nelson"/>
        <s v="Christine Mendez"/>
        <s v="Tammy Cortez"/>
        <s v="Chris Jones"/>
        <s v="Antonio Harrison"/>
        <s v="Corey Mitchell"/>
        <s v="Kristina May"/>
        <s v="Dennis Garcia"/>
        <s v="Kara Jackson"/>
        <s v="Aaron Miller"/>
        <s v="Jonathan Wilson"/>
        <s v="Emily Miller"/>
        <s v="Kristina Henry"/>
        <s v="Sean Wyatt"/>
        <s v="Joseph Smith"/>
        <s v="Amanda Hill"/>
        <s v="Samantha Roy"/>
        <s v="Maria Gardner"/>
        <s v="Ryan Brown"/>
        <s v="Faith Powers"/>
        <s v="Jennifer Monroe"/>
        <s v="Jeremy Hill"/>
        <s v="Justin Wilson"/>
        <s v="Catherine Miller"/>
        <s v="Julia Wiley"/>
        <s v="James Mitchell"/>
        <s v="Curtis Krause"/>
        <s v="Hannah May"/>
        <s v="Keith Chaney"/>
        <s v="Natalie Adams"/>
        <s v="Lynn Alvarez"/>
        <s v="Erica Garcia"/>
        <s v="Elizabeth Owens"/>
        <s v="Monica Wells"/>
        <s v="Wesley Rich"/>
        <s v="Christopher Turner"/>
        <s v="Amy Davis"/>
        <s v="Charles Andrade"/>
        <s v="David Cohen"/>
        <s v="Jennifer Lewis"/>
        <s v="Phillip Anderson"/>
        <s v="Michael Cordova"/>
        <s v="Rodney Bishop"/>
        <s v="Eric Davis"/>
        <s v="Roberto Johnson"/>
        <s v="Hannah Oconnor"/>
        <s v="Janet Gibson"/>
        <s v="Patrick Wilson"/>
        <s v="Christopher Coleman"/>
        <s v="Michelle Scott"/>
        <s v="Julia Williams"/>
        <s v="Edward Butler"/>
        <s v="Jennifer Thompson"/>
        <s v="Melissa Sanchez"/>
        <s v="Misty Burnett"/>
        <s v="Alex Clements"/>
        <s v="Whitney Gilbert"/>
        <s v="Timothy Hill"/>
        <s v="Megan Nelson"/>
        <s v="Richard Reid"/>
        <s v="Michael Wilcox"/>
        <s v="Gilbert Reed"/>
        <s v="Dawn Johnson"/>
        <s v="Edgar Stewart"/>
        <s v="Jennifer Hubbard"/>
        <s v="Lawrence Atkinson"/>
        <s v="Victoria Werner"/>
        <s v="Jack Garcia"/>
        <s v="John Mckenzie MD"/>
        <s v="Melinda Garcia"/>
        <s v="Brenda Harvey"/>
        <s v="Keith Kennedy"/>
        <s v="Nathan Allen"/>
        <s v="Andre Lane"/>
        <s v="Ashley Munoz"/>
        <s v="Andrew Rhodes"/>
        <s v="Ricardo Holland"/>
        <s v="Mitchell Hunt"/>
        <s v="Lauren Moody"/>
        <s v="Christine Davis"/>
        <s v="Jeremy Cobb"/>
        <s v="Daniel Wood"/>
        <s v="Micheal Nunez"/>
        <s v="James Walsh"/>
        <s v="Nathan Mcgee"/>
        <s v="Kathryn Mills"/>
        <s v="Steven Smith"/>
        <s v="Monica Wilson"/>
        <s v="Natalie Cox"/>
        <s v="Kimberly Figueroa"/>
        <s v="Patrick Norris"/>
        <s v="Deborah Ramirez"/>
        <s v="Daniel Sanchez"/>
        <s v="John Ramos"/>
        <s v="Adam Jordan"/>
        <s v="Lindsay Vasquez"/>
        <s v="Joseph Peterson"/>
        <s v="William Ruiz"/>
        <s v="Scott Peterson"/>
        <s v="Erica Moreno"/>
        <s v="James Jackson"/>
        <s v="Rachel Chan"/>
        <s v="Gene Gomez"/>
        <s v="Jennifer Schmitt"/>
        <s v="Christina Bates"/>
        <s v="Erika Castro"/>
        <s v="David Nguyen"/>
        <s v="Susan Tucker"/>
        <s v="Grant Medina"/>
        <s v="Reginald Gutierrez"/>
        <s v="Jessica Murphy"/>
        <s v="Melissa Stevenson"/>
        <s v="Joel Cook"/>
        <s v="Robert Yates"/>
        <s v="Erin Ryan"/>
        <s v="Phyllis Schmidt"/>
        <s v="Julie Preston"/>
        <s v="Joseph Schwartz"/>
        <s v="Alicia Perez"/>
        <s v="Christina Underwood"/>
        <s v="Christopher Johnson"/>
        <s v="William Hall"/>
        <s v="Jaime Wallace"/>
        <s v="James Olsen"/>
        <s v="Barbara Burns"/>
        <s v="Dr. Heather Scott"/>
        <s v="Tracy Copeland"/>
        <s v="Rhonda Liu"/>
        <s v="Adam Stone"/>
        <s v="Sharon Guerrero"/>
        <s v="Traci Harmon"/>
        <s v="Mr. Mario Stout III"/>
        <s v="Shane Mcintyre"/>
        <s v="Steven Davis"/>
        <s v="Larry Walsh"/>
        <s v="Louis Moran"/>
        <s v="Renee Thomas"/>
        <s v="David Blair"/>
        <s v="Debra Lam MD"/>
        <s v="Craig White"/>
        <s v="Kenneth Webb"/>
        <s v="Dennis Gonzales"/>
        <s v="Mary Barnett"/>
        <s v="Traci Martinez"/>
        <s v="Gregory Chavez"/>
        <s v="Michael Parsons"/>
        <s v="Kerry Williams"/>
        <s v="Christopher Walters"/>
        <s v="Dale Williams"/>
        <s v="Nathan Evans"/>
        <s v="Andrea Fischer"/>
        <s v="Maria Myers"/>
        <s v="James Barber"/>
        <s v="Kelly Warren"/>
        <s v="Jordan Jones"/>
        <s v="Jessica Jackson"/>
        <s v="Miss Linda Cox DVM"/>
        <s v="Randy Kirby"/>
        <s v="Mrs. Ashley Shaffer"/>
        <s v="Richard Erickson"/>
        <s v="Rebecca Finley"/>
        <s v="James Garner"/>
        <s v="James Trujillo"/>
        <s v="Tracy Garcia"/>
        <s v="Vincent Hill"/>
        <s v="Kimberly Morris"/>
        <s v="Joshua Trujillo"/>
        <s v="Emily Crawford"/>
        <s v="Robert Huang"/>
        <s v="Jonathan May"/>
        <s v="Christina Davis"/>
        <s v="Thomas Garcia"/>
        <s v="Danielle Moore"/>
        <s v="Robert Thomas"/>
        <s v="Yvette Lee"/>
        <s v="Veronica Francis"/>
        <s v="Taylor Flores"/>
        <s v="Lauren Davis"/>
        <s v="Maria Spencer"/>
        <s v="Kevin Brown"/>
        <s v="Brittany Fleming"/>
        <s v="Michael Bender DVM"/>
        <s v="Sherri Shah"/>
        <s v="Paul Matthews"/>
        <s v="Kyle Blake"/>
        <s v="Brandon Powell"/>
        <s v="Eric Thompson"/>
        <s v="Darrell Duke"/>
        <s v="Amy Hawkins"/>
        <s v="Eric Marsh"/>
        <s v="Mr. William Davis DDS"/>
        <s v="Robin Wallace"/>
        <s v="Christopher Stone"/>
        <s v="Rachel Raymond"/>
        <s v="Amanda Brown"/>
        <s v="Erica Rose"/>
        <s v="Craig Raymond"/>
        <s v="Frank Webb MD"/>
        <s v="Brandon Mcclain"/>
        <s v="Eric Lopez"/>
        <s v="Melanie Williams"/>
        <s v="Dalton Clark"/>
        <s v="Mary Herman"/>
        <s v="Charles Sanchez"/>
        <s v="Adam Colon"/>
        <s v="Michael Williams"/>
        <s v="Steven Freeman"/>
        <s v="Dustin Foley"/>
        <s v="Kathleen Martinez"/>
        <s v="Phillip Drake"/>
        <s v="Randy Bates"/>
        <s v="Christian Villarreal"/>
        <s v="Christian Carter"/>
        <s v="Jeremiah Bridges"/>
        <s v="Jennifer Ferguson"/>
        <s v="Melinda Smith"/>
        <s v="Joshua Smith"/>
        <s v="Thomas Young"/>
        <s v="Shawn Walker"/>
        <s v="Alex Trujillo"/>
        <s v="Heather Mcmahon"/>
        <s v="George Ortega"/>
        <s v="Tiffany Daniel"/>
        <s v="Charles Rodriguez"/>
        <s v="Steve Keller"/>
        <s v="Michael Nelson"/>
        <s v="David Rodgers"/>
        <s v="Angelica Smith"/>
        <s v="Elizabeth Jones"/>
        <s v="Brian Hoffman"/>
        <s v="Juan Harrison"/>
        <s v="Anne Williams"/>
        <s v="Sabrina Galvan"/>
        <s v="Gerald Miller"/>
        <s v="Ashley Donovan"/>
        <s v="Mrs. Lisa Garza"/>
        <s v="Dr. Allison Flores"/>
        <s v="Gail Nelson DVM"/>
        <s v="Kenneth Turner"/>
        <s v="Gabriela Pratt"/>
        <s v="Katherine Adams"/>
        <s v="Carl Gill"/>
        <s v="Peggy Shields"/>
        <s v="Shelby Murray"/>
        <s v="Paul Miller"/>
        <s v="Mitchell Hughes"/>
        <s v="Nicholas Vargas"/>
        <s v="Shawn Johnston"/>
        <s v="Nicole Perez"/>
        <s v="Donna Simmons"/>
        <s v="Christopher Brown"/>
        <s v="Patrick Davis"/>
        <s v="Patrick Castillo"/>
        <s v="Christopher Vazquez"/>
        <s v="Julie Hernandez"/>
        <s v="Lynn Ross MD"/>
        <s v="John Nelson"/>
        <s v="Colton Lawson"/>
        <s v="Brian Benton"/>
        <s v="Christopher Mccoy"/>
        <s v="Renee Shields"/>
        <s v="David Blackburn"/>
        <s v="Riley Hale"/>
        <s v="Robin Wright"/>
        <s v="Loretta Miller"/>
        <s v="Raven Hill"/>
        <s v="Aaron Kelly"/>
        <s v="Kimberly Holloway"/>
        <s v="Chloe Lindsey"/>
        <s v="Dan Phillips"/>
        <s v="Wendy Griffin"/>
        <s v="Craig Obrien"/>
        <s v="Gabriel Woods"/>
        <s v="Maria Foster"/>
        <s v="Michelle Crawford"/>
        <s v="Isaac Kelly"/>
        <s v="Jason Clarke"/>
        <s v="Thomas Green"/>
        <s v="Andrew Blake"/>
        <s v="Meagan Smith"/>
        <s v="Christine Aguilar"/>
        <s v="Christian Smith"/>
        <s v="Nicole Scott"/>
        <s v="Jeremy Faulkner"/>
        <s v="Shelly Gonzalez"/>
        <s v="Mark Knight"/>
        <s v="Shannon Clark"/>
        <s v="Karen Carlson"/>
        <s v="Adam Hill"/>
        <s v="Matthew Maddox"/>
        <s v="Elizabeth Baker"/>
        <s v="Brandon Young"/>
        <s v="James Bennett"/>
        <s v="Diana Campbell"/>
        <s v="Chelsea Norris"/>
        <s v="Michelle Newton"/>
        <s v="Matthew Watson"/>
        <s v="Jacqueline Lucero"/>
        <s v="David Taylor"/>
        <s v="Shannon Weber"/>
        <s v="Jason Rodriguez"/>
        <s v="Melinda French"/>
        <s v="Gregory Russell"/>
        <s v="Stephanie Costa"/>
        <s v="Daniel Little"/>
        <s v="Ricardo Jones"/>
        <s v="Kyle Cooper"/>
        <s v="Meghan Rowland"/>
        <s v="Janet Ryan"/>
        <s v="John Bullock"/>
        <s v="Jordan Curry"/>
        <s v="Michele Hayes"/>
        <s v="Christopher Hill"/>
        <s v="Jose Thompson"/>
        <s v="Brian Moore"/>
        <s v="Amanda White"/>
        <s v="Carlos Irwin"/>
        <s v="Isabella Stephens"/>
        <s v="Brandon Rich"/>
        <s v="Brandon Lopez"/>
        <s v="Wesley Douglas"/>
        <s v="Paul Myers"/>
        <s v="Alexa Beard"/>
        <s v="Karen Lewis"/>
        <s v="Brianna Hodges"/>
        <s v="Sara Ward"/>
        <s v="Phyllis Johnson"/>
        <s v="Katrina Russell"/>
        <s v="Andre Jones"/>
        <s v="John Roman"/>
        <s v="Jasmin Pitts"/>
        <s v="Lynn King"/>
        <s v="Erika Allen"/>
        <s v="Diana Harper"/>
        <s v="Michael Marquez"/>
        <s v="Sherri Little"/>
        <s v="Judy Peterson"/>
        <s v="Mrs. Chelsea Villa"/>
        <s v="Derek Jarvis"/>
        <s v="Christopher Ward"/>
        <s v="Richard Frost"/>
        <s v="Marcus Ramirez"/>
        <s v="Brittany Spencer"/>
        <s v="Tiffany Davis"/>
        <s v="Joe Martin"/>
        <s v="Scott Atkinson"/>
        <s v="Patrick Cruz"/>
        <s v="Shaun Peterson"/>
        <s v="Michael Burke"/>
        <s v="Donald Espinoza"/>
        <s v="Michael Chavez"/>
        <s v="Jeremy Coleman"/>
        <s v="Christopher Nash"/>
        <s v="Ann Moon"/>
        <s v="Jody Carter"/>
        <s v="Austin Wiggins"/>
        <s v="Stephanie Young"/>
        <s v="Philip Cummings"/>
        <s v="Pamela Palmer"/>
        <s v="Christopher Anderson"/>
        <s v="Brian Wright"/>
        <s v="Katherine Webster"/>
        <s v="Sara Sullivan"/>
        <s v="Andrew Jones"/>
        <s v="Alexander Freeman"/>
        <s v="Elizabeth Sanchez"/>
        <s v="Jacqueline Harris"/>
        <s v="Elizabeth Brown"/>
        <s v="Jose Woods"/>
        <s v="Willie Thomas"/>
        <s v="Jerry Cook"/>
        <s v="Laurie Stephenson"/>
        <s v="Lacey Jones"/>
        <s v="Charles Herman"/>
        <s v="Troy Lee"/>
        <s v="Wanda Clark"/>
        <s v="William Buckley"/>
        <s v="Tina Scott"/>
        <s v="Diana Wheeler"/>
        <s v="Jordan Porter"/>
        <s v="Kristen Richard"/>
        <s v="Jennifer Ross"/>
        <s v="Mary Hampton"/>
        <s v="Felicia Wood"/>
        <s v="Samuel Mitchell"/>
        <s v="Ashlee Miller"/>
        <s v="April Thompson MD"/>
        <s v="Erin Williams"/>
        <s v="Kevin Gilbert"/>
        <s v="Brooke Parsons"/>
        <s v="Melissa Patrick"/>
        <s v="Timothy Bauer"/>
        <s v="Brittany Bolton"/>
        <s v="Michelle Graham"/>
        <s v="Mary Diaz"/>
        <s v="Robert Ford"/>
        <s v="Michelle Barrett"/>
        <s v="Shawn Cook"/>
        <s v="Randy Welch"/>
        <s v="Dr. Jonathan Clark"/>
        <s v="Wendy Salazar"/>
        <s v="Kimberly Campos"/>
        <s v="Suzanne Lynch"/>
        <s v="Matthew Williams"/>
        <s v="Daryl Walker"/>
        <s v="Denise Olsen"/>
        <s v="Matthew Roberts"/>
        <s v="Alexis Jordan"/>
        <s v="Monique Jackson"/>
        <s v="Heather Hubbard"/>
        <s v="Sarah Smith"/>
        <s v="Gail Mason"/>
        <s v="Heather Hughes"/>
        <s v="Carla Peterson DDS"/>
        <s v="Rebecca Reynolds"/>
        <s v="Natasha Davenport"/>
        <s v="Andrew Chavez"/>
        <s v="Shannon Miller"/>
        <s v="Kristen Juarez"/>
        <s v="Elaine Trevino"/>
        <s v="Samuel Zavala"/>
        <s v="Dustin Lopez"/>
        <s v="Dennis Cook"/>
        <s v="Ryan Pierce"/>
        <s v="Jamie Galvan"/>
        <s v="Leah Rodriguez"/>
        <s v="Kevin Hoffman"/>
        <s v="Ashley Burnett"/>
        <s v="Jason Maldonado"/>
        <s v="Daniel Estrada"/>
        <s v="Jennifer Lane"/>
        <s v="Dr. Jared Lee III"/>
        <s v="Andrew Bolton"/>
        <s v="Laura Pearson"/>
        <s v="Charles Wong"/>
        <s v="Jill Harris"/>
        <s v="Travis Kim III"/>
        <s v="Jason Keith"/>
        <s v="Kendra Willis"/>
        <s v="Tracey Nelson"/>
        <s v="William Arnold"/>
        <s v="Denise Barrett"/>
        <s v="Douglas Pacheco"/>
        <s v="Erin Norris"/>
        <s v="Eric Duran"/>
        <s v="Toni Cunningham"/>
        <s v="George Ruiz"/>
        <s v="Billy Cunningham"/>
        <s v="Zachary Jones"/>
        <s v="David Hull"/>
        <s v="David Wilson"/>
        <s v="Kimberly Sandoval"/>
        <s v="Kevin Buckley"/>
        <s v="Alyssa Davis"/>
        <s v="Christina Clark"/>
        <s v="Bruce Barr"/>
        <s v="Arthur Santana"/>
        <s v="Ryan Fisher"/>
        <s v="Michael Martin"/>
        <s v="Jerry Jackson"/>
        <s v="Edward Barton"/>
        <s v="Crystal Graves"/>
        <s v="Shawn Lindsey"/>
        <s v="Gina Medina"/>
        <s v="Samuel Harris"/>
        <s v="Javier Schultz"/>
        <s v="Gail Johnson MD"/>
        <s v="Patrick Walsh"/>
        <s v="Amy Mccoy"/>
        <s v="Kathy Roberts"/>
        <s v="Donna Boyd"/>
        <s v="John Hunter"/>
        <s v="Jamie Fields"/>
        <s v="Bryce Gutierrez"/>
        <s v="Roberto Glover"/>
        <s v="Daniel Ortiz"/>
        <s v="Derek Williams"/>
        <s v="Deborah Quinn"/>
        <s v="Nathan Lopez"/>
        <s v="Elizabeth Jackson"/>
        <s v="Bianca Bowen"/>
        <s v="Samantha Carter"/>
        <s v="Daryl Lowe"/>
        <s v="Julie Parker"/>
        <s v="Monica Richardson"/>
        <s v="Ronald Brown"/>
        <s v="Christine Hubbard"/>
        <s v="Barbara Chandler"/>
        <s v="John Johns"/>
        <s v="Christina Robinson"/>
        <s v="Tina Hull"/>
        <s v="Shannon Maxwell"/>
        <s v="Richard Rodriguez"/>
        <s v="Mark Jimenez"/>
        <s v="Jenna Lynch"/>
        <s v="Bryce Fox"/>
        <s v="Grace Johnson"/>
        <s v="Jerry Rogers"/>
        <s v="Joshua Shepard"/>
        <s v="Jessica Burch"/>
        <s v="Terri Golden"/>
        <s v="Seth Johnson"/>
        <s v="Christopher Robinson"/>
        <s v="Brian Sims"/>
        <s v="Dr. Donna Mccarty"/>
        <s v="Grace Young"/>
        <s v="Becky Garcia"/>
        <s v="Lauren Brown MD"/>
        <s v="Jennifer Harper"/>
        <s v="Maria Malone"/>
        <s v="Lauren Walsh"/>
        <s v="Stacy Hudson"/>
        <s v="Charles Costa"/>
        <s v="Kara Sanders MD"/>
        <s v="Tommy Ramsey"/>
        <s v="Kelly Sandoval"/>
        <s v="Autumn Thomas"/>
        <s v="Kimberly Thomas"/>
        <s v="Mark Mclean"/>
        <s v="Renee Edwards"/>
        <s v="Chase Matthews"/>
        <s v="Danny Smith"/>
        <s v="Pamela Gordon"/>
        <s v="Anthony Wong"/>
        <s v="Christopher Soto"/>
        <s v="Amber Richardson"/>
        <s v="Christopher Klein"/>
        <s v="Haley Peters"/>
        <s v="Tara Jones"/>
        <s v="Christina Chavez"/>
        <s v="Thomas Morales"/>
        <s v="Stephanie Martin"/>
        <s v="Cynthia Palmer"/>
        <s v="Jermaine Vance"/>
        <s v="Erica Thomas"/>
        <s v="Sandra Ross"/>
        <s v="Roy Fowler"/>
        <s v="Debbie Arias"/>
        <s v="Melissa Kim"/>
        <s v="Michael Flores"/>
        <s v="Mallory Powell"/>
        <s v="Kelly Aguirre"/>
        <s v="Mark Murphy"/>
        <s v="Jillian Garcia"/>
        <s v="Kenneth Murphy"/>
        <s v="Marcus Weaver"/>
        <s v="Crystal Wilkinson"/>
        <s v="Larry Mathis"/>
        <s v="Tonya Potter"/>
        <s v="Jennifer Myers"/>
        <s v="James Miller"/>
        <s v="Joshua Vincent MD"/>
        <s v="Kathleen Brady"/>
        <s v="Rebecca Wood"/>
        <s v="Jesus Johnson"/>
        <s v="Debra White"/>
        <s v="Lisa Lopez"/>
        <s v="Rachel Greer"/>
        <s v="Bobby Becker"/>
        <s v="Wayne Jackson"/>
        <s v="Jacqueline Walker"/>
        <s v="Tina Herring"/>
        <s v="Courtney Lee"/>
        <s v="Carmen Gonzalez"/>
        <s v="Gabriel Murphy"/>
        <s v="Jillian Stewart"/>
        <s v="Hector Bryant"/>
        <s v="Adriana Ward"/>
        <s v="Taylor Grant"/>
        <s v="Diana Huffman"/>
        <s v="Gina Chapman"/>
        <s v="Tyler Lozano"/>
        <s v="Amanda Solis"/>
        <s v="Shawn Ware"/>
        <s v="John Boyd"/>
        <s v="Joseph Jensen"/>
        <s v="Steven Mccormick"/>
        <s v="Victoria Padilla"/>
        <s v="Rhonda Rodriguez"/>
        <s v="Ryan Smith"/>
        <s v="Kelly Perry"/>
        <s v="Pamela Powell"/>
        <s v="Paul Cox"/>
        <s v="Luke Dixon"/>
        <s v="Joshua White"/>
        <s v="Christina Cobb"/>
        <s v="Christopher Moses"/>
        <s v="Mary Richards"/>
        <s v="Jack Brandt"/>
        <s v="Nathaniel Ford"/>
        <s v="Debbie King"/>
        <s v="Shannon Gonzales"/>
        <s v="Melvin Carlson"/>
        <s v="Trevor Bautista"/>
        <s v="Richard Roy"/>
        <s v="Robert Parks MD"/>
        <s v="David Nichols"/>
        <s v="Cynthia Hughes"/>
        <s v="Russell Martin"/>
        <s v="Carol Mcintosh"/>
        <s v="Sean Dixon"/>
        <s v="Kevin Davis"/>
        <s v="Sean Bradshaw"/>
        <s v="Megan Wilson"/>
        <s v="Amanda Taylor"/>
        <s v="Nicole Lewis"/>
        <s v="Mary Gibson"/>
        <s v="Duane Clarke"/>
        <s v="Vicki Hernandez"/>
        <s v="Hannah James PhD"/>
        <s v="Alan Davis DVM"/>
        <s v="Jasmine Farmer"/>
        <s v="William Conrad"/>
        <s v="Antonio George Jr."/>
        <s v="Scott Schmidt"/>
        <s v="Anthony Smith"/>
        <s v="Jay Buchanan"/>
        <s v="Theresa King"/>
        <s v="Justin Hammond"/>
        <s v="Phillip Davis"/>
        <s v="Meagan West"/>
        <s v="Craig Williams"/>
        <s v="Wayne Hess"/>
        <s v="James Wilson"/>
        <s v="Kelsey Kelly"/>
        <s v="Aaron Gonzalez"/>
        <s v="Jessica Hernandez"/>
        <s v="Anthony Adams"/>
        <s v="Barry Wilson"/>
        <s v="Matthew Richards"/>
        <s v="Michelle Stewart"/>
        <s v="Ronald Underwood"/>
        <s v="Christina Garza"/>
        <s v="Tina Hernandez"/>
        <s v="David Thompson"/>
        <s v="Lauren Barr"/>
        <s v="Anthony Murray"/>
        <s v="Mary Green"/>
        <s v="Penny West"/>
        <s v="Laurie Roberts"/>
        <s v="Caitlyn Martinez"/>
        <s v="Adam Thompson"/>
        <s v="Sandra White"/>
        <s v="Matthew Miller"/>
        <s v="Kristin Wagner"/>
        <s v="Andrew Gomez"/>
        <s v="Johnny Arnold"/>
        <s v="Richard Stevens"/>
        <s v="Leonard Reyes"/>
        <s v="Erik Brown"/>
        <s v="Mrs. Olivia Petersen"/>
        <s v="Toni Osborne"/>
        <s v="Jeffrey Mercer"/>
        <s v="Alex Whitaker"/>
        <s v="Carla Hoover"/>
        <s v="Stephanie Peterson"/>
        <s v="Gary Greer"/>
        <s v="Luis Patterson"/>
        <s v="Ryan Harrison"/>
        <s v="Laura Payne"/>
        <s v="Devon Ramos"/>
        <s v="Jay Alvarado"/>
        <s v="Emily Hunter"/>
        <s v="Erik Keller"/>
        <s v="Danielle Mcfarland DVM"/>
        <s v="Kyle Mullins"/>
        <s v="Kerry Murphy"/>
        <s v="Chad Moreno"/>
        <s v="Natalie Hawkins"/>
        <s v="Adrian Gibbs"/>
        <s v="Alyssa Hayes"/>
        <s v="Carlos Vincent"/>
        <s v="Jason Haynes"/>
        <s v="Timothy Coleman"/>
        <s v="Stanley Benson"/>
        <s v="Brian Thompson"/>
        <s v="Wendy Smith"/>
        <s v="Bethany Baxter MD"/>
        <s v="Jennifer Baker MD"/>
        <s v="Crystal Wolf"/>
        <s v="Sharon Patel"/>
        <s v="Carl Powers"/>
        <s v="Michael Patterson"/>
        <s v="Sarah Jones"/>
        <s v="Nancy Rowland"/>
        <s v="Meghan Jackson"/>
        <s v="Stephanie Gomez"/>
        <s v="Miguel Lee"/>
        <s v="Brianna Hanson"/>
        <s v="Sharon French"/>
        <s v="Taylor Kirby"/>
        <s v="Jeffrey Petersen"/>
        <s v="Manuel Cole"/>
        <s v="Joshua Horne"/>
        <s v="Brittney Tanner"/>
        <s v="Ashley Franco"/>
        <s v="Tracey Page"/>
        <s v="Carla Young"/>
        <s v="Brooke Keith"/>
        <s v="Christy Thomas"/>
        <s v="Michael Cruz"/>
        <s v="Shawna Gillespie"/>
        <s v="Chelsey Reyes"/>
        <s v="Angela Dixon"/>
        <s v="Sean Chapman"/>
        <s v="Robert Ramirez"/>
        <s v="Steven Price"/>
        <s v="Michelle Padilla"/>
        <s v="Lucas Nielsen"/>
        <s v="Raymond Wolf"/>
        <s v="Nicholas Cunningham"/>
        <s v="Kristin Meyer"/>
        <s v="Kevin White"/>
        <s v="Cynthia Johnson"/>
        <s v="Sandra Lopez"/>
        <s v="Teresa Bowers"/>
        <s v="Michael Lambert"/>
        <s v="Rebecca Newman"/>
        <s v="Christopher Morrison"/>
        <s v="Sierra Gentry"/>
        <s v="Hannah Carter"/>
        <s v="Ryan Thomas"/>
        <s v="James Schaefer"/>
        <s v="Diana Lin"/>
        <s v="Brandon Meyer"/>
        <s v="Jason Price"/>
        <s v="Nicole Brown"/>
      </sharedItems>
    </cacheField>
    <cacheField name="City" numFmtId="0">
      <sharedItems/>
    </cacheField>
    <cacheField name="Income" numFmtId="0">
      <sharedItems containsSemiMixedTypes="0" containsString="0" containsNumber="1" containsInteger="1" minValue="30053" maxValue="149964"/>
    </cacheField>
    <cacheField name="Credit_Score" numFmtId="0">
      <sharedItems containsSemiMixedTypes="0" containsString="0" containsNumber="1" containsInteger="1" minValue="300" maxValue="850"/>
    </cacheField>
    <cacheField name="Loan_Amount" numFmtId="0">
      <sharedItems containsSemiMixedTypes="0" containsString="0" containsNumber="1" containsInteger="1" minValue="1022" maxValue="49999"/>
    </cacheField>
    <cacheField name="Years_Employed" numFmtId="0">
      <sharedItems containsSemiMixedTypes="0" containsString="0" containsNumber="1" containsInteger="1" minValue="0" maxValue="40"/>
    </cacheField>
    <cacheField name="Points" numFmtId="0">
      <sharedItems containsSemiMixedTypes="0" containsString="0" containsNumber="1" containsInteger="1" minValue="10" maxValue="100"/>
    </cacheField>
    <cacheField name="Loan_Approved" numFmtId="0">
      <sharedItems count="2">
        <b v="0"/>
        <b v="1"/>
      </sharedItems>
    </cacheField>
    <cacheField name="Is Approved" numFmtId="0">
      <sharedItems containsSemiMixedTypes="0" containsString="0" containsNumber="1" containsInteger="1" minValue="0" maxValue="1"/>
    </cacheField>
    <cacheField name="Notable Patterns For The Credit Score" numFmtId="0">
      <sharedItems count="4">
        <s v="300-450 (Poor)"/>
        <s v="601-750 (Good)"/>
        <s v="451-600 (Fair)"/>
        <s v="751-850 (Excellent)"/>
      </sharedItems>
    </cacheField>
    <cacheField name="The Approved Rate" numFmtId="164">
      <sharedItems containsSemiMixedTypes="0" containsString="0" containsNumber="1" minValue="0.4395" maxValue="0.4395"/>
    </cacheField>
  </cacheFields>
  <extLst>
    <ext xmlns:x14="http://schemas.microsoft.com/office/spreadsheetml/2009/9/main" uri="{725AE2AE-9491-48be-B2B4-4EB974FC3084}">
      <x14:pivotCacheDefinition pivotCacheId="15335713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1.724913425925" backgroundQuery="1" createdVersion="7" refreshedVersion="7" minRefreshableVersion="3" recordCount="0" supportSubquery="1" supportAdvancedDrill="1" xr:uid="{217BAF2A-112A-43B6-AD15-2079130BBFCC}">
  <cacheSource type="external" connectionId="1"/>
  <cacheFields count="3">
    <cacheField name="[Measures].[Sum of Loan_Amount]" caption="Sum of Loan_Amount" numFmtId="0" hierarchy="15" level="32767"/>
    <cacheField name="[Measures].[Sum of Income]" caption="Sum of Income" numFmtId="0" hierarchy="13" level="32767"/>
    <cacheField name="[Range].[Loan_Approved].[Loan_Approved]" caption="Loan_Approved" numFmtId="0" hierarchy="7" level="1">
      <sharedItems count="2">
        <b v="0"/>
        <b v="1"/>
      </sharedItems>
    </cacheField>
  </cacheFields>
  <cacheHierarchies count="18">
    <cacheHierarchy uniqueName="[Range].[Name]" caption="Name" attribute="1" defaultMemberUniqueName="[Range].[Name].[All]" allUniqueName="[Range].[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redit_Score]" caption="Credit_Score" attribute="1" defaultMemberUniqueName="[Range].[Credit_Score].[All]" allUniqueName="[Range].[Credit_Score].[All]" dimensionUniqueName="[Range]" displayFolder="" count="0" memberValueDatatype="20" unbalanced="0"/>
    <cacheHierarchy uniqueName="[Range].[Loan_Amount]" caption="Loan_Amount" attribute="1" defaultMemberUniqueName="[Range].[Loan_Amount].[All]" allUniqueName="[Range].[Loan_Amount].[All]" dimensionUniqueName="[Range]" displayFolder="" count="0" memberValueDatatype="20" unbalanced="0"/>
    <cacheHierarchy uniqueName="[Range].[Years_Employed]" caption="Years_Employed" attribute="1" defaultMemberUniqueName="[Range].[Years_Employed].[All]" allUniqueName="[Range].[Years_Employed].[All]" dimensionUniqueName="[Range]" displayFolder="" count="0" memberValueDatatype="20" unbalanced="0"/>
    <cacheHierarchy uniqueName="[Range].[Points]" caption="Points" attribute="1" defaultMemberUniqueName="[Range].[Points].[All]" allUniqueName="[Range].[Points].[All]" dimensionUniqueName="[Range]" displayFolder="" count="0" memberValueDatatype="20" unbalanced="0"/>
    <cacheHierarchy uniqueName="[Range].[Loan_Approved]" caption="Loan_Approved" attribute="1" defaultMemberUniqueName="[Range].[Loan_Approved].[All]" allUniqueName="[Range].[Loan_Approved].[All]" dimensionUniqueName="[Range]" displayFolder="" count="2" memberValueDatatype="11" unbalanced="0">
      <fieldsUsage count="2">
        <fieldUsage x="-1"/>
        <fieldUsage x="2"/>
      </fieldsUsage>
    </cacheHierarchy>
    <cacheHierarchy uniqueName="[Range].[Is Approved]" caption="Is Approved" attribute="1" defaultMemberUniqueName="[Range].[Is Approved].[All]" allUniqueName="[Range].[Is Approved].[All]" dimensionUniqueName="[Range]" displayFolder="" count="0" memberValueDatatype="20" unbalanced="0"/>
    <cacheHierarchy uniqueName="[Range].[Notable Patterns For The Credit Score]" caption="Notable Patterns For The Credit Score" attribute="1" defaultMemberUniqueName="[Range].[Notable Patterns For The Credit Score].[All]" allUniqueName="[Range].[Notable Patterns For The Credit Score].[All]" dimensionUniqueName="[Range]" displayFolder="" count="0" memberValueDatatype="130" unbalanced="0"/>
    <cacheHierarchy uniqueName="[Range].[The Approved Rate]" caption="The Approved Rate" attribute="1" defaultMemberUniqueName="[Range].[The Approved Rate].[All]" allUniqueName="[Range].[The Approved Rat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Credit_Score]" caption="Sum of Credit_Score" measure="1" displayFolder="" measureGroup="Range" count="0" hidden="1">
      <extLst>
        <ext xmlns:x15="http://schemas.microsoft.com/office/spreadsheetml/2010/11/main" uri="{B97F6D7D-B522-45F9-BDA1-12C45D357490}">
          <x15:cacheHierarchy aggregatedColumn="3"/>
        </ext>
      </extLst>
    </cacheHierarchy>
    <cacheHierarchy uniqueName="[Measures].[Sum of Loan_Amount]" caption="Sum of Loan_Amount"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Years_Employed]" caption="Sum of Years_Employed" measure="1" displayFolder="" measureGroup="Range" count="0" hidden="1">
      <extLst>
        <ext xmlns:x15="http://schemas.microsoft.com/office/spreadsheetml/2010/11/main" uri="{B97F6D7D-B522-45F9-BDA1-12C45D357490}">
          <x15:cacheHierarchy aggregatedColumn="5"/>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1.724913425925" backgroundQuery="1" createdVersion="7" refreshedVersion="7" minRefreshableVersion="3" recordCount="0" supportSubquery="1" supportAdvancedDrill="1" xr:uid="{38E2E24D-AFDB-4F3F-8666-45A2E6625E0B}">
  <cacheSource type="external" connectionId="1"/>
  <cacheFields count="3">
    <cacheField name="[Measures].[Sum of Loan_Amount]" caption="Sum of Loan_Amount" numFmtId="0" hierarchy="15" level="32767"/>
    <cacheField name="[Measures].[Sum of Income]" caption="Sum of Income" numFmtId="0" hierarchy="13" level="32767"/>
    <cacheField name="[Range].[Loan_Approved].[Loan_Approved]" caption="Loan_Approved" numFmtId="0" hierarchy="7" level="1">
      <sharedItems count="2">
        <b v="0"/>
        <b v="1"/>
      </sharedItems>
    </cacheField>
  </cacheFields>
  <cacheHierarchies count="18">
    <cacheHierarchy uniqueName="[Range].[Name]" caption="Name" attribute="1" defaultMemberUniqueName="[Range].[Name].[All]" allUniqueName="[Range].[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redit_Score]" caption="Credit_Score" attribute="1" defaultMemberUniqueName="[Range].[Credit_Score].[All]" allUniqueName="[Range].[Credit_Score].[All]" dimensionUniqueName="[Range]" displayFolder="" count="0" memberValueDatatype="20" unbalanced="0"/>
    <cacheHierarchy uniqueName="[Range].[Loan_Amount]" caption="Loan_Amount" attribute="1" defaultMemberUniqueName="[Range].[Loan_Amount].[All]" allUniqueName="[Range].[Loan_Amount].[All]" dimensionUniqueName="[Range]" displayFolder="" count="0" memberValueDatatype="20" unbalanced="0"/>
    <cacheHierarchy uniqueName="[Range].[Years_Employed]" caption="Years_Employed" attribute="1" defaultMemberUniqueName="[Range].[Years_Employed].[All]" allUniqueName="[Range].[Years_Employed].[All]" dimensionUniqueName="[Range]" displayFolder="" count="0" memberValueDatatype="20" unbalanced="0"/>
    <cacheHierarchy uniqueName="[Range].[Points]" caption="Points" attribute="1" defaultMemberUniqueName="[Range].[Points].[All]" allUniqueName="[Range].[Points].[All]" dimensionUniqueName="[Range]" displayFolder="" count="0" memberValueDatatype="20" unbalanced="0"/>
    <cacheHierarchy uniqueName="[Range].[Loan_Approved]" caption="Loan_Approved" attribute="1" defaultMemberUniqueName="[Range].[Loan_Approved].[All]" allUniqueName="[Range].[Loan_Approved].[All]" dimensionUniqueName="[Range]" displayFolder="" count="2" memberValueDatatype="11" unbalanced="0">
      <fieldsUsage count="2">
        <fieldUsage x="-1"/>
        <fieldUsage x="2"/>
      </fieldsUsage>
    </cacheHierarchy>
    <cacheHierarchy uniqueName="[Range].[Is Approved]" caption="Is Approved" attribute="1" defaultMemberUniqueName="[Range].[Is Approved].[All]" allUniqueName="[Range].[Is Approved].[All]" dimensionUniqueName="[Range]" displayFolder="" count="0" memberValueDatatype="20" unbalanced="0"/>
    <cacheHierarchy uniqueName="[Range].[Notable Patterns For The Credit Score]" caption="Notable Patterns For The Credit Score" attribute="1" defaultMemberUniqueName="[Range].[Notable Patterns For The Credit Score].[All]" allUniqueName="[Range].[Notable Patterns For The Credit Score].[All]" dimensionUniqueName="[Range]" displayFolder="" count="0" memberValueDatatype="130" unbalanced="0"/>
    <cacheHierarchy uniqueName="[Range].[The Approved Rate]" caption="The Approved Rate" attribute="1" defaultMemberUniqueName="[Range].[The Approved Rate].[All]" allUniqueName="[Range].[The Approved Rat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Credit_Score]" caption="Sum of Credit_Score" measure="1" displayFolder="" measureGroup="Range" count="0" hidden="1">
      <extLst>
        <ext xmlns:x15="http://schemas.microsoft.com/office/spreadsheetml/2010/11/main" uri="{B97F6D7D-B522-45F9-BDA1-12C45D357490}">
          <x15:cacheHierarchy aggregatedColumn="3"/>
        </ext>
      </extLst>
    </cacheHierarchy>
    <cacheHierarchy uniqueName="[Measures].[Sum of Loan_Amount]" caption="Sum of Loan_Amount"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Years_Employed]" caption="Sum of Years_Employed" measure="1" displayFolder="" measureGroup="Range" count="0" hidden="1">
      <extLst>
        <ext xmlns:x15="http://schemas.microsoft.com/office/spreadsheetml/2010/11/main" uri="{B97F6D7D-B522-45F9-BDA1-12C45D357490}">
          <x15:cacheHierarchy aggregatedColumn="5"/>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1.743173726849" createdVersion="7" refreshedVersion="7" minRefreshableVersion="3" recordCount="5" xr:uid="{04AC60DE-7A2A-4A8F-9E31-C315BA207A0E}">
  <cacheSource type="worksheet">
    <worksheetSource ref="A2:J7" sheet="Assesment Table"/>
  </cacheSource>
  <cacheFields count="11">
    <cacheField name="Name" numFmtId="0">
      <sharedItems count="5">
        <s v="Felicia Hobbs"/>
        <s v="Julia Wiley"/>
        <s v="Michael Anderson"/>
        <s v="Jesus Johnson"/>
        <s v="Monica Wilson"/>
      </sharedItems>
    </cacheField>
    <cacheField name="City" numFmtId="0">
      <sharedItems count="5">
        <s v="Butlerville"/>
        <s v="West Mary"/>
        <s v="Lake Jasonfort"/>
        <s v="East Joshuaside"/>
        <s v="West Victor"/>
      </sharedItems>
    </cacheField>
    <cacheField name="Income" numFmtId="0">
      <sharedItems containsSemiMixedTypes="0" containsString="0" containsNumber="1" containsInteger="1" minValue="34722" maxValue="104607"/>
    </cacheField>
    <cacheField name="Credit_Score" numFmtId="0">
      <sharedItems containsSemiMixedTypes="0" containsString="0" containsNumber="1" containsInteger="1" minValue="312" maxValue="532"/>
    </cacheField>
    <cacheField name="Loan_Amount" numFmtId="0">
      <sharedItems containsSemiMixedTypes="0" containsString="0" containsNumber="1" containsInteger="1" minValue="49906" maxValue="49999"/>
    </cacheField>
    <cacheField name="Years_Employed" numFmtId="0">
      <sharedItems containsSemiMixedTypes="0" containsString="0" containsNumber="1" containsInteger="1" minValue="8" maxValue="38"/>
    </cacheField>
    <cacheField name="Points" numFmtId="0">
      <sharedItems containsSemiMixedTypes="0" containsString="0" containsNumber="1" containsInteger="1" minValue="25" maxValue="40"/>
    </cacheField>
    <cacheField name="Loan_Approved" numFmtId="0">
      <sharedItems/>
    </cacheField>
    <cacheField name="Is Approved" numFmtId="0">
      <sharedItems containsSemiMixedTypes="0" containsString="0" containsNumber="1" containsInteger="1" minValue="0" maxValue="0"/>
    </cacheField>
    <cacheField name="Notable Patterns For The Credit Score" numFmtId="0">
      <sharedItems/>
    </cacheField>
    <cacheField name="The Approved Rate" numFmtId="164">
      <sharedItems containsSemiMixedTypes="0" containsString="0" containsNumber="1" minValue="0.4395" maxValue="0.439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1.724913425925" backgroundQuery="1" createdVersion="7" refreshedVersion="7" minRefreshableVersion="3" recordCount="0" supportSubquery="1" supportAdvancedDrill="1" xr:uid="{B067DCAE-594A-43C9-9102-F1FA357DE786}">
  <cacheSource type="external" connectionId="1"/>
  <cacheFields count="3">
    <cacheField name="[Measures].[Sum of Loan_Amount]" caption="Sum of Loan_Amount" numFmtId="0" hierarchy="15" level="32767"/>
    <cacheField name="[Measures].[Sum of Income]" caption="Sum of Income" numFmtId="0" hierarchy="13" level="32767"/>
    <cacheField name="[Range].[Loan_Approved].[Loan_Approved]" caption="Loan_Approved" numFmtId="0" hierarchy="7" level="1">
      <sharedItems count="2">
        <b v="0"/>
        <b v="1"/>
      </sharedItems>
    </cacheField>
  </cacheFields>
  <cacheHierarchies count="18">
    <cacheHierarchy uniqueName="[Range].[Name]" caption="Name" attribute="1" defaultMemberUniqueName="[Range].[Name].[All]" allUniqueName="[Range].[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redit_Score]" caption="Credit_Score" attribute="1" defaultMemberUniqueName="[Range].[Credit_Score].[All]" allUniqueName="[Range].[Credit_Score].[All]" dimensionUniqueName="[Range]" displayFolder="" count="0" memberValueDatatype="20" unbalanced="0"/>
    <cacheHierarchy uniqueName="[Range].[Loan_Amount]" caption="Loan_Amount" attribute="1" defaultMemberUniqueName="[Range].[Loan_Amount].[All]" allUniqueName="[Range].[Loan_Amount].[All]" dimensionUniqueName="[Range]" displayFolder="" count="0" memberValueDatatype="20" unbalanced="0"/>
    <cacheHierarchy uniqueName="[Range].[Years_Employed]" caption="Years_Employed" attribute="1" defaultMemberUniqueName="[Range].[Years_Employed].[All]" allUniqueName="[Range].[Years_Employed].[All]" dimensionUniqueName="[Range]" displayFolder="" count="0" memberValueDatatype="20" unbalanced="0"/>
    <cacheHierarchy uniqueName="[Range].[Points]" caption="Points" attribute="1" defaultMemberUniqueName="[Range].[Points].[All]" allUniqueName="[Range].[Points].[All]" dimensionUniqueName="[Range]" displayFolder="" count="0" memberValueDatatype="20" unbalanced="0"/>
    <cacheHierarchy uniqueName="[Range].[Loan_Approved]" caption="Loan_Approved" attribute="1" defaultMemberUniqueName="[Range].[Loan_Approved].[All]" allUniqueName="[Range].[Loan_Approved].[All]" dimensionUniqueName="[Range]" displayFolder="" count="2" memberValueDatatype="11" unbalanced="0">
      <fieldsUsage count="2">
        <fieldUsage x="-1"/>
        <fieldUsage x="2"/>
      </fieldsUsage>
    </cacheHierarchy>
    <cacheHierarchy uniqueName="[Range].[Is Approved]" caption="Is Approved" attribute="1" defaultMemberUniqueName="[Range].[Is Approved].[All]" allUniqueName="[Range].[Is Approved].[All]" dimensionUniqueName="[Range]" displayFolder="" count="0" memberValueDatatype="20" unbalanced="0"/>
    <cacheHierarchy uniqueName="[Range].[Notable Patterns For The Credit Score]" caption="Notable Patterns For The Credit Score" attribute="1" defaultMemberUniqueName="[Range].[Notable Patterns For The Credit Score].[All]" allUniqueName="[Range].[Notable Patterns For The Credit Score].[All]" dimensionUniqueName="[Range]" displayFolder="" count="0" memberValueDatatype="130" unbalanced="0"/>
    <cacheHierarchy uniqueName="[Range].[The Approved Rate]" caption="The Approved Rate" attribute="1" defaultMemberUniqueName="[Range].[The Approved Rate].[All]" allUniqueName="[Range].[The Approved Rat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Credit_Score]" caption="Sum of Credit_Score" measure="1" displayFolder="" measureGroup="Range" count="0" hidden="1">
      <extLst>
        <ext xmlns:x15="http://schemas.microsoft.com/office/spreadsheetml/2010/11/main" uri="{B97F6D7D-B522-45F9-BDA1-12C45D357490}">
          <x15:cacheHierarchy aggregatedColumn="3"/>
        </ext>
      </extLst>
    </cacheHierarchy>
    <cacheHierarchy uniqueName="[Measures].[Sum of Loan_Amount]" caption="Sum of Loan_Amount"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Years_Employed]" caption="Sum of Years_Employed" measure="1" displayFolder="" measureGroup="Range" count="0" hidden="1">
      <extLst>
        <ext xmlns:x15="http://schemas.microsoft.com/office/spreadsheetml/2010/11/main" uri="{B97F6D7D-B522-45F9-BDA1-12C45D357490}">
          <x15:cacheHierarchy aggregatedColumn="5"/>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East Jill"/>
    <n v="113810"/>
    <n v="389"/>
    <n v="39698"/>
    <n v="27"/>
    <n v="50"/>
    <x v="0"/>
    <n v="0"/>
    <x v="0"/>
    <n v="0.4395"/>
  </r>
  <r>
    <x v="1"/>
    <s v="New Jamesside"/>
    <n v="44592"/>
    <n v="729"/>
    <n v="15446"/>
    <n v="28"/>
    <n v="55"/>
    <x v="0"/>
    <n v="0"/>
    <x v="1"/>
    <n v="0.4395"/>
  </r>
  <r>
    <x v="2"/>
    <s v="Lake Roberto"/>
    <n v="33278"/>
    <n v="584"/>
    <n v="11189"/>
    <n v="13"/>
    <n v="45"/>
    <x v="0"/>
    <n v="0"/>
    <x v="2"/>
    <n v="0.4395"/>
  </r>
  <r>
    <x v="3"/>
    <s v="West Melanieview"/>
    <n v="127196"/>
    <n v="344"/>
    <n v="48823"/>
    <n v="29"/>
    <n v="50"/>
    <x v="0"/>
    <n v="0"/>
    <x v="0"/>
    <n v="0.4395"/>
  </r>
  <r>
    <x v="4"/>
    <s v="Mariastad"/>
    <n v="66048"/>
    <n v="496"/>
    <n v="47174"/>
    <n v="4"/>
    <n v="25"/>
    <x v="0"/>
    <n v="0"/>
    <x v="2"/>
    <n v="0.4395"/>
  </r>
  <r>
    <x v="5"/>
    <s v="Port Jesseville"/>
    <n v="62098"/>
    <n v="689"/>
    <n v="19217"/>
    <n v="29"/>
    <n v="65"/>
    <x v="1"/>
    <n v="1"/>
    <x v="1"/>
    <n v="0.4395"/>
  </r>
  <r>
    <x v="6"/>
    <s v="Lake Joseph"/>
    <n v="59256"/>
    <n v="373"/>
    <n v="40920"/>
    <n v="40"/>
    <n v="35"/>
    <x v="0"/>
    <n v="0"/>
    <x v="0"/>
    <n v="0.4395"/>
  </r>
  <r>
    <x v="7"/>
    <s v="Nelsonside"/>
    <n v="48289"/>
    <n v="524"/>
    <n v="45866"/>
    <n v="20"/>
    <n v="25"/>
    <x v="0"/>
    <n v="0"/>
    <x v="2"/>
    <n v="0.4395"/>
  </r>
  <r>
    <x v="8"/>
    <s v="Port Leslieview"/>
    <n v="126530"/>
    <n v="367"/>
    <n v="14826"/>
    <n v="36"/>
    <n v="55"/>
    <x v="0"/>
    <n v="0"/>
    <x v="0"/>
    <n v="0.4395"/>
  </r>
  <r>
    <x v="9"/>
    <s v="Wilkersonmouth"/>
    <n v="43434"/>
    <n v="446"/>
    <n v="18359"/>
    <n v="8"/>
    <n v="20"/>
    <x v="0"/>
    <n v="0"/>
    <x v="0"/>
    <n v="0.4395"/>
  </r>
  <r>
    <x v="10"/>
    <s v="Hurstfurt"/>
    <n v="118696"/>
    <n v="670"/>
    <n v="15373"/>
    <n v="8"/>
    <n v="75"/>
    <x v="1"/>
    <n v="1"/>
    <x v="1"/>
    <n v="0.4395"/>
  </r>
  <r>
    <x v="11"/>
    <s v="East Courtneychester"/>
    <n v="127080"/>
    <n v="365"/>
    <n v="26216"/>
    <n v="24"/>
    <n v="55"/>
    <x v="0"/>
    <n v="0"/>
    <x v="0"/>
    <n v="0.4395"/>
  </r>
  <r>
    <x v="12"/>
    <s v="Lake Jenniferside"/>
    <n v="146939"/>
    <n v="573"/>
    <n v="43006"/>
    <n v="21"/>
    <n v="50"/>
    <x v="0"/>
    <n v="0"/>
    <x v="2"/>
    <n v="0.4395"/>
  </r>
  <r>
    <x v="13"/>
    <s v="Teresaburgh"/>
    <n v="101482"/>
    <n v="819"/>
    <n v="7973"/>
    <n v="40"/>
    <n v="100"/>
    <x v="1"/>
    <n v="1"/>
    <x v="3"/>
    <n v="0.4395"/>
  </r>
  <r>
    <x v="14"/>
    <s v="West Kathryn"/>
    <n v="41395"/>
    <n v="843"/>
    <n v="1037"/>
    <n v="38"/>
    <n v="80"/>
    <x v="1"/>
    <n v="1"/>
    <x v="3"/>
    <n v="0.4395"/>
  </r>
  <r>
    <x v="15"/>
    <s v="Johnbury"/>
    <n v="107397"/>
    <n v="380"/>
    <n v="6613"/>
    <n v="31"/>
    <n v="60"/>
    <x v="1"/>
    <n v="1"/>
    <x v="0"/>
    <n v="0.4395"/>
  </r>
  <r>
    <x v="16"/>
    <s v="East Donna"/>
    <n v="85302"/>
    <n v="469"/>
    <n v="18370"/>
    <n v="33"/>
    <n v="50"/>
    <x v="0"/>
    <n v="0"/>
    <x v="2"/>
    <n v="0.4395"/>
  </r>
  <r>
    <x v="17"/>
    <s v="Lake Larry"/>
    <n v="34165"/>
    <n v="682"/>
    <n v="29711"/>
    <n v="33"/>
    <n v="50"/>
    <x v="0"/>
    <n v="0"/>
    <x v="1"/>
    <n v="0.4395"/>
  </r>
  <r>
    <x v="18"/>
    <s v="New Angelashire"/>
    <n v="33905"/>
    <n v="525"/>
    <n v="1471"/>
    <n v="4"/>
    <n v="30"/>
    <x v="0"/>
    <n v="0"/>
    <x v="2"/>
    <n v="0.4395"/>
  </r>
  <r>
    <x v="19"/>
    <s v="Port Markhaven"/>
    <n v="42280"/>
    <n v="543"/>
    <n v="19250"/>
    <n v="31"/>
    <n v="25"/>
    <x v="0"/>
    <n v="0"/>
    <x v="2"/>
    <n v="0.4395"/>
  </r>
  <r>
    <x v="20"/>
    <s v="Sanchezfort"/>
    <n v="58657"/>
    <n v="716"/>
    <n v="13478"/>
    <n v="6"/>
    <n v="65"/>
    <x v="1"/>
    <n v="1"/>
    <x v="1"/>
    <n v="0.4395"/>
  </r>
  <r>
    <x v="21"/>
    <s v="Shieldston"/>
    <n v="60495"/>
    <n v="400"/>
    <n v="4972"/>
    <n v="25"/>
    <n v="50"/>
    <x v="0"/>
    <n v="0"/>
    <x v="0"/>
    <n v="0.4395"/>
  </r>
  <r>
    <x v="22"/>
    <s v="East Amanda"/>
    <n v="96237"/>
    <n v="443"/>
    <n v="28648"/>
    <n v="11"/>
    <n v="45"/>
    <x v="0"/>
    <n v="0"/>
    <x v="0"/>
    <n v="0.4395"/>
  </r>
  <r>
    <x v="23"/>
    <s v="Mortonside"/>
    <n v="108907"/>
    <n v="400"/>
    <n v="4315"/>
    <n v="34"/>
    <n v="60"/>
    <x v="1"/>
    <n v="1"/>
    <x v="0"/>
    <n v="0.4395"/>
  </r>
  <r>
    <x v="24"/>
    <s v="East Richard"/>
    <n v="33478"/>
    <n v="792"/>
    <n v="15008"/>
    <n v="25"/>
    <n v="60"/>
    <x v="1"/>
    <n v="1"/>
    <x v="3"/>
    <n v="0.4395"/>
  </r>
  <r>
    <x v="25"/>
    <s v="Bakermouth"/>
    <n v="103563"/>
    <n v="592"/>
    <n v="28722"/>
    <n v="35"/>
    <n v="65"/>
    <x v="1"/>
    <n v="1"/>
    <x v="2"/>
    <n v="0.4395"/>
  </r>
  <r>
    <x v="26"/>
    <s v="North Beth"/>
    <n v="56062"/>
    <n v="362"/>
    <n v="21552"/>
    <n v="3"/>
    <n v="30"/>
    <x v="0"/>
    <n v="0"/>
    <x v="0"/>
    <n v="0.4395"/>
  </r>
  <r>
    <x v="27"/>
    <s v="North Susan"/>
    <n v="123850"/>
    <n v="382"/>
    <n v="13178"/>
    <n v="4"/>
    <n v="45"/>
    <x v="0"/>
    <n v="0"/>
    <x v="0"/>
    <n v="0.4395"/>
  </r>
  <r>
    <x v="28"/>
    <s v="New Johnton"/>
    <n v="115181"/>
    <n v="383"/>
    <n v="28474"/>
    <n v="37"/>
    <n v="55"/>
    <x v="0"/>
    <n v="0"/>
    <x v="0"/>
    <n v="0.4395"/>
  </r>
  <r>
    <x v="29"/>
    <s v="Johnfurt"/>
    <n v="121924"/>
    <n v="434"/>
    <n v="45019"/>
    <n v="19"/>
    <n v="50"/>
    <x v="0"/>
    <n v="0"/>
    <x v="0"/>
    <n v="0.4395"/>
  </r>
  <r>
    <x v="30"/>
    <s v="South Christineshire"/>
    <n v="101426"/>
    <n v="402"/>
    <n v="5801"/>
    <n v="34"/>
    <n v="60"/>
    <x v="1"/>
    <n v="1"/>
    <x v="0"/>
    <n v="0.4395"/>
  </r>
  <r>
    <x v="31"/>
    <s v="East Mikeburgh"/>
    <n v="84987"/>
    <n v="748"/>
    <n v="36600"/>
    <n v="19"/>
    <n v="75"/>
    <x v="1"/>
    <n v="1"/>
    <x v="1"/>
    <n v="0.4395"/>
  </r>
  <r>
    <x v="32"/>
    <s v="Lake Lisaport"/>
    <n v="58893"/>
    <n v="406"/>
    <n v="9800"/>
    <n v="16"/>
    <n v="45"/>
    <x v="0"/>
    <n v="0"/>
    <x v="0"/>
    <n v="0.4395"/>
  </r>
  <r>
    <x v="33"/>
    <s v="Juanborough"/>
    <n v="88878"/>
    <n v="651"/>
    <n v="14342"/>
    <n v="40"/>
    <n v="65"/>
    <x v="1"/>
    <n v="1"/>
    <x v="1"/>
    <n v="0.4395"/>
  </r>
  <r>
    <x v="34"/>
    <s v="North Cynthiaview"/>
    <n v="107236"/>
    <n v="345"/>
    <n v="1232"/>
    <n v="21"/>
    <n v="60"/>
    <x v="1"/>
    <n v="1"/>
    <x v="0"/>
    <n v="0.4395"/>
  </r>
  <r>
    <x v="35"/>
    <s v="Arnoldchester"/>
    <n v="66463"/>
    <n v="309"/>
    <n v="8331"/>
    <n v="4"/>
    <n v="35"/>
    <x v="0"/>
    <n v="0"/>
    <x v="0"/>
    <n v="0.4395"/>
  </r>
  <r>
    <x v="36"/>
    <s v="Port Mikeside"/>
    <n v="136093"/>
    <n v="451"/>
    <n v="29166"/>
    <n v="8"/>
    <n v="50"/>
    <x v="0"/>
    <n v="0"/>
    <x v="2"/>
    <n v="0.4395"/>
  </r>
  <r>
    <x v="37"/>
    <s v="West Jasonbury"/>
    <n v="143940"/>
    <n v="405"/>
    <n v="24178"/>
    <n v="35"/>
    <n v="55"/>
    <x v="0"/>
    <n v="0"/>
    <x v="0"/>
    <n v="0.4395"/>
  </r>
  <r>
    <x v="38"/>
    <s v="East Michelle"/>
    <n v="30851"/>
    <n v="481"/>
    <n v="28020"/>
    <n v="1"/>
    <n v="10"/>
    <x v="0"/>
    <n v="0"/>
    <x v="2"/>
    <n v="0.4395"/>
  </r>
  <r>
    <x v="39"/>
    <s v="Phambury"/>
    <n v="129458"/>
    <n v="573"/>
    <n v="11433"/>
    <n v="6"/>
    <n v="55"/>
    <x v="0"/>
    <n v="0"/>
    <x v="2"/>
    <n v="0.4395"/>
  </r>
  <r>
    <x v="40"/>
    <s v="Port Samantha"/>
    <n v="135620"/>
    <n v="658"/>
    <n v="21000"/>
    <n v="14"/>
    <n v="70"/>
    <x v="1"/>
    <n v="1"/>
    <x v="1"/>
    <n v="0.4395"/>
  </r>
  <r>
    <x v="41"/>
    <s v="Michelleview"/>
    <n v="50926"/>
    <n v="659"/>
    <n v="43040"/>
    <n v="32"/>
    <n v="50"/>
    <x v="0"/>
    <n v="0"/>
    <x v="1"/>
    <n v="0.4395"/>
  </r>
  <r>
    <x v="42"/>
    <s v="North Natalieview"/>
    <n v="121506"/>
    <n v="482"/>
    <n v="39049"/>
    <n v="16"/>
    <n v="50"/>
    <x v="0"/>
    <n v="0"/>
    <x v="2"/>
    <n v="0.4395"/>
  </r>
  <r>
    <x v="43"/>
    <s v="Samuelhaven"/>
    <n v="85392"/>
    <n v="418"/>
    <n v="26244"/>
    <n v="36"/>
    <n v="45"/>
    <x v="0"/>
    <n v="0"/>
    <x v="0"/>
    <n v="0.4395"/>
  </r>
  <r>
    <x v="44"/>
    <s v="West Ryan"/>
    <n v="74597"/>
    <n v="638"/>
    <n v="41839"/>
    <n v="20"/>
    <n v="50"/>
    <x v="0"/>
    <n v="0"/>
    <x v="1"/>
    <n v="0.4395"/>
  </r>
  <r>
    <x v="45"/>
    <s v="Elizabethmouth"/>
    <n v="66421"/>
    <n v="712"/>
    <n v="46692"/>
    <n v="18"/>
    <n v="60"/>
    <x v="1"/>
    <n v="1"/>
    <x v="1"/>
    <n v="0.4395"/>
  </r>
  <r>
    <x v="46"/>
    <s v="Byrdburgh"/>
    <n v="50379"/>
    <n v="608"/>
    <n v="27612"/>
    <n v="35"/>
    <n v="50"/>
    <x v="0"/>
    <n v="0"/>
    <x v="1"/>
    <n v="0.4395"/>
  </r>
  <r>
    <x v="47"/>
    <s v="Stevenmouth"/>
    <n v="58221"/>
    <n v="518"/>
    <n v="34500"/>
    <n v="30"/>
    <n v="35"/>
    <x v="0"/>
    <n v="0"/>
    <x v="2"/>
    <n v="0.4395"/>
  </r>
  <r>
    <x v="48"/>
    <s v="West Zacharymouth"/>
    <n v="130072"/>
    <n v="395"/>
    <n v="16392"/>
    <n v="19"/>
    <n v="55"/>
    <x v="0"/>
    <n v="0"/>
    <x v="0"/>
    <n v="0.4395"/>
  </r>
  <r>
    <x v="49"/>
    <s v="South Cheryl"/>
    <n v="74118"/>
    <n v="374"/>
    <n v="30846"/>
    <n v="26"/>
    <n v="35"/>
    <x v="0"/>
    <n v="0"/>
    <x v="0"/>
    <n v="0.4395"/>
  </r>
  <r>
    <x v="50"/>
    <s v="Snyderbury"/>
    <n v="43396"/>
    <n v="451"/>
    <n v="43995"/>
    <n v="0"/>
    <n v="10"/>
    <x v="0"/>
    <n v="0"/>
    <x v="2"/>
    <n v="0.4395"/>
  </r>
  <r>
    <x v="51"/>
    <s v="Robinsonhaven"/>
    <n v="42156"/>
    <n v="775"/>
    <n v="4291"/>
    <n v="35"/>
    <n v="70"/>
    <x v="1"/>
    <n v="1"/>
    <x v="3"/>
    <n v="0.4395"/>
  </r>
  <r>
    <x v="52"/>
    <s v="Contrerasside"/>
    <n v="79797"/>
    <n v="624"/>
    <n v="30004"/>
    <n v="39"/>
    <n v="60"/>
    <x v="1"/>
    <n v="1"/>
    <x v="1"/>
    <n v="0.4395"/>
  </r>
  <r>
    <x v="53"/>
    <s v="Merrittfort"/>
    <n v="42676"/>
    <n v="760"/>
    <n v="17986"/>
    <n v="15"/>
    <n v="60"/>
    <x v="1"/>
    <n v="1"/>
    <x v="3"/>
    <n v="0.4395"/>
  </r>
  <r>
    <x v="54"/>
    <s v="Simsview"/>
    <n v="77052"/>
    <n v="750"/>
    <n v="6077"/>
    <n v="18"/>
    <n v="90"/>
    <x v="1"/>
    <n v="1"/>
    <x v="1"/>
    <n v="0.4395"/>
  </r>
  <r>
    <x v="55"/>
    <s v="East Edwardfurt"/>
    <n v="141082"/>
    <n v="456"/>
    <n v="47295"/>
    <n v="13"/>
    <n v="50"/>
    <x v="0"/>
    <n v="0"/>
    <x v="2"/>
    <n v="0.4395"/>
  </r>
  <r>
    <x v="56"/>
    <s v="Brownchester"/>
    <n v="75082"/>
    <n v="698"/>
    <n v="39278"/>
    <n v="1"/>
    <n v="50"/>
    <x v="0"/>
    <n v="0"/>
    <x v="1"/>
    <n v="0.4395"/>
  </r>
  <r>
    <x v="57"/>
    <s v="West Kennethfurt"/>
    <n v="109131"/>
    <n v="729"/>
    <n v="36272"/>
    <n v="34"/>
    <n v="75"/>
    <x v="1"/>
    <n v="1"/>
    <x v="1"/>
    <n v="0.4395"/>
  </r>
  <r>
    <x v="58"/>
    <s v="Ryantown"/>
    <n v="64671"/>
    <n v="698"/>
    <n v="23028"/>
    <n v="25"/>
    <n v="65"/>
    <x v="1"/>
    <n v="1"/>
    <x v="1"/>
    <n v="0.4395"/>
  </r>
  <r>
    <x v="59"/>
    <s v="South Brittanytown"/>
    <n v="135791"/>
    <n v="385"/>
    <n v="43123"/>
    <n v="27"/>
    <n v="50"/>
    <x v="0"/>
    <n v="0"/>
    <x v="0"/>
    <n v="0.4395"/>
  </r>
  <r>
    <x v="60"/>
    <s v="Murphymouth"/>
    <n v="35695"/>
    <n v="634"/>
    <n v="23118"/>
    <n v="24"/>
    <n v="40"/>
    <x v="0"/>
    <n v="0"/>
    <x v="1"/>
    <n v="0.4395"/>
  </r>
  <r>
    <x v="61"/>
    <s v="South Andrewside"/>
    <n v="125647"/>
    <n v="353"/>
    <n v="23935"/>
    <n v="14"/>
    <n v="55"/>
    <x v="0"/>
    <n v="0"/>
    <x v="0"/>
    <n v="0.4395"/>
  </r>
  <r>
    <x v="62"/>
    <s v="East Jamestown"/>
    <n v="90217"/>
    <n v="456"/>
    <n v="16633"/>
    <n v="8"/>
    <n v="45"/>
    <x v="0"/>
    <n v="0"/>
    <x v="2"/>
    <n v="0.4395"/>
  </r>
  <r>
    <x v="63"/>
    <s v="Lyonsstad"/>
    <n v="100284"/>
    <n v="471"/>
    <n v="40707"/>
    <n v="38"/>
    <n v="45"/>
    <x v="0"/>
    <n v="0"/>
    <x v="2"/>
    <n v="0.4395"/>
  </r>
  <r>
    <x v="64"/>
    <s v="West Daniel"/>
    <n v="46361"/>
    <n v="326"/>
    <n v="21444"/>
    <n v="36"/>
    <n v="25"/>
    <x v="0"/>
    <n v="0"/>
    <x v="0"/>
    <n v="0.4395"/>
  </r>
  <r>
    <x v="65"/>
    <s v="North Brittany"/>
    <n v="79615"/>
    <n v="548"/>
    <n v="7678"/>
    <n v="19"/>
    <n v="55"/>
    <x v="0"/>
    <n v="0"/>
    <x v="2"/>
    <n v="0.4395"/>
  </r>
  <r>
    <x v="66"/>
    <s v="West Amandastad"/>
    <n v="40328"/>
    <n v="370"/>
    <n v="34158"/>
    <n v="21"/>
    <n v="25"/>
    <x v="0"/>
    <n v="0"/>
    <x v="0"/>
    <n v="0.4395"/>
  </r>
  <r>
    <x v="67"/>
    <s v="Yumouth"/>
    <n v="102357"/>
    <n v="456"/>
    <n v="29540"/>
    <n v="11"/>
    <n v="50"/>
    <x v="0"/>
    <n v="0"/>
    <x v="2"/>
    <n v="0.4395"/>
  </r>
  <r>
    <x v="68"/>
    <s v="Marshallshire"/>
    <n v="68427"/>
    <n v="574"/>
    <n v="22122"/>
    <n v="15"/>
    <n v="40"/>
    <x v="0"/>
    <n v="0"/>
    <x v="2"/>
    <n v="0.4395"/>
  </r>
  <r>
    <x v="69"/>
    <s v="Port Steven"/>
    <n v="138711"/>
    <n v="688"/>
    <n v="23046"/>
    <n v="1"/>
    <n v="65"/>
    <x v="1"/>
    <n v="1"/>
    <x v="1"/>
    <n v="0.4395"/>
  </r>
  <r>
    <x v="70"/>
    <s v="Matthewview"/>
    <n v="112397"/>
    <n v="310"/>
    <n v="34857"/>
    <n v="12"/>
    <n v="50"/>
    <x v="0"/>
    <n v="0"/>
    <x v="0"/>
    <n v="0.4395"/>
  </r>
  <r>
    <x v="71"/>
    <s v="Lake Thomas"/>
    <n v="111070"/>
    <n v="802"/>
    <n v="30371"/>
    <n v="1"/>
    <n v="75"/>
    <x v="1"/>
    <n v="1"/>
    <x v="3"/>
    <n v="0.4395"/>
  </r>
  <r>
    <x v="72"/>
    <s v="Elizabethstad"/>
    <n v="146057"/>
    <n v="784"/>
    <n v="37272"/>
    <n v="33"/>
    <n v="85"/>
    <x v="1"/>
    <n v="1"/>
    <x v="3"/>
    <n v="0.4395"/>
  </r>
  <r>
    <x v="73"/>
    <s v="Jacquelineview"/>
    <n v="142945"/>
    <n v="613"/>
    <n v="17475"/>
    <n v="14"/>
    <n v="70"/>
    <x v="1"/>
    <n v="1"/>
    <x v="1"/>
    <n v="0.4395"/>
  </r>
  <r>
    <x v="74"/>
    <s v="East Javier"/>
    <n v="77400"/>
    <n v="795"/>
    <n v="19120"/>
    <n v="37"/>
    <n v="85"/>
    <x v="1"/>
    <n v="1"/>
    <x v="3"/>
    <n v="0.4395"/>
  </r>
  <r>
    <x v="75"/>
    <s v="Port Jamesbury"/>
    <n v="105674"/>
    <n v="669"/>
    <n v="12759"/>
    <n v="19"/>
    <n v="70"/>
    <x v="1"/>
    <n v="1"/>
    <x v="1"/>
    <n v="0.4395"/>
  </r>
  <r>
    <x v="76"/>
    <s v="New Kellyberg"/>
    <n v="55203"/>
    <n v="802"/>
    <n v="7723"/>
    <n v="0"/>
    <n v="70"/>
    <x v="1"/>
    <n v="1"/>
    <x v="3"/>
    <n v="0.4395"/>
  </r>
  <r>
    <x v="77"/>
    <s v="North Johnny"/>
    <n v="122349"/>
    <n v="789"/>
    <n v="8476"/>
    <n v="4"/>
    <n v="85"/>
    <x v="1"/>
    <n v="1"/>
    <x v="3"/>
    <n v="0.4395"/>
  </r>
  <r>
    <x v="78"/>
    <s v="East Edwardshire"/>
    <n v="39116"/>
    <n v="611"/>
    <n v="6582"/>
    <n v="15"/>
    <n v="50"/>
    <x v="0"/>
    <n v="0"/>
    <x v="1"/>
    <n v="0.4395"/>
  </r>
  <r>
    <x v="79"/>
    <s v="Port Alexandra"/>
    <n v="36006"/>
    <n v="761"/>
    <n v="30014"/>
    <n v="19"/>
    <n v="60"/>
    <x v="1"/>
    <n v="1"/>
    <x v="3"/>
    <n v="0.4395"/>
  </r>
  <r>
    <x v="80"/>
    <s v="New Susanville"/>
    <n v="116673"/>
    <n v="512"/>
    <n v="41993"/>
    <n v="13"/>
    <n v="50"/>
    <x v="0"/>
    <n v="0"/>
    <x v="2"/>
    <n v="0.4395"/>
  </r>
  <r>
    <x v="81"/>
    <s v="East Aaronmouth"/>
    <n v="59871"/>
    <n v="781"/>
    <n v="20087"/>
    <n v="2"/>
    <n v="65"/>
    <x v="1"/>
    <n v="1"/>
    <x v="3"/>
    <n v="0.4395"/>
  </r>
  <r>
    <x v="82"/>
    <s v="Jonesbury"/>
    <n v="131327"/>
    <n v="570"/>
    <n v="41963"/>
    <n v="37"/>
    <n v="50"/>
    <x v="0"/>
    <n v="0"/>
    <x v="2"/>
    <n v="0.4395"/>
  </r>
  <r>
    <x v="83"/>
    <s v="Lake Edward"/>
    <n v="67930"/>
    <n v="572"/>
    <n v="10321"/>
    <n v="4"/>
    <n v="35"/>
    <x v="0"/>
    <n v="0"/>
    <x v="2"/>
    <n v="0.4395"/>
  </r>
  <r>
    <x v="84"/>
    <s v="Scottmouth"/>
    <n v="40458"/>
    <n v="611"/>
    <n v="46857"/>
    <n v="25"/>
    <n v="40"/>
    <x v="0"/>
    <n v="0"/>
    <x v="1"/>
    <n v="0.4395"/>
  </r>
  <r>
    <x v="85"/>
    <s v="New Billchester"/>
    <n v="142108"/>
    <n v="630"/>
    <n v="40564"/>
    <n v="16"/>
    <n v="65"/>
    <x v="1"/>
    <n v="1"/>
    <x v="1"/>
    <n v="0.4395"/>
  </r>
  <r>
    <x v="86"/>
    <s v="Port Emilyview"/>
    <n v="60512"/>
    <n v="341"/>
    <n v="12481"/>
    <n v="30"/>
    <n v="45"/>
    <x v="0"/>
    <n v="0"/>
    <x v="0"/>
    <n v="0.4395"/>
  </r>
  <r>
    <x v="87"/>
    <s v="Waltersfort"/>
    <n v="143571"/>
    <n v="393"/>
    <n v="31802"/>
    <n v="22"/>
    <n v="55"/>
    <x v="0"/>
    <n v="0"/>
    <x v="0"/>
    <n v="0.4395"/>
  </r>
  <r>
    <x v="88"/>
    <s v="West Robert"/>
    <n v="43238"/>
    <n v="807"/>
    <n v="19888"/>
    <n v="25"/>
    <n v="65"/>
    <x v="1"/>
    <n v="1"/>
    <x v="3"/>
    <n v="0.4395"/>
  </r>
  <r>
    <x v="89"/>
    <s v="Johnnyville"/>
    <n v="79823"/>
    <n v="713"/>
    <n v="34724"/>
    <n v="0"/>
    <n v="50"/>
    <x v="0"/>
    <n v="0"/>
    <x v="1"/>
    <n v="0.4395"/>
  </r>
  <r>
    <x v="90"/>
    <s v="New Michael"/>
    <n v="66434"/>
    <n v="810"/>
    <n v="41986"/>
    <n v="28"/>
    <n v="75"/>
    <x v="1"/>
    <n v="1"/>
    <x v="3"/>
    <n v="0.4395"/>
  </r>
  <r>
    <x v="91"/>
    <s v="Samuelfort"/>
    <n v="89429"/>
    <n v="424"/>
    <n v="2891"/>
    <n v="40"/>
    <n v="55"/>
    <x v="0"/>
    <n v="0"/>
    <x v="0"/>
    <n v="0.4395"/>
  </r>
  <r>
    <x v="92"/>
    <s v="New Rickybury"/>
    <n v="113320"/>
    <n v="416"/>
    <n v="31241"/>
    <n v="7"/>
    <n v="45"/>
    <x v="0"/>
    <n v="0"/>
    <x v="0"/>
    <n v="0.4395"/>
  </r>
  <r>
    <x v="93"/>
    <s v="Williamview"/>
    <n v="139328"/>
    <n v="725"/>
    <n v="32621"/>
    <n v="30"/>
    <n v="80"/>
    <x v="1"/>
    <n v="1"/>
    <x v="1"/>
    <n v="0.4395"/>
  </r>
  <r>
    <x v="94"/>
    <s v="Port Chad"/>
    <n v="77819"/>
    <n v="724"/>
    <n v="23274"/>
    <n v="32"/>
    <n v="70"/>
    <x v="1"/>
    <n v="1"/>
    <x v="1"/>
    <n v="0.4395"/>
  </r>
  <r>
    <x v="95"/>
    <s v="Grimesmouth"/>
    <n v="51319"/>
    <n v="795"/>
    <n v="23618"/>
    <n v="21"/>
    <n v="70"/>
    <x v="1"/>
    <n v="1"/>
    <x v="3"/>
    <n v="0.4395"/>
  </r>
  <r>
    <x v="96"/>
    <s v="Mollybury"/>
    <n v="78520"/>
    <n v="692"/>
    <n v="16306"/>
    <n v="26"/>
    <n v="75"/>
    <x v="1"/>
    <n v="1"/>
    <x v="1"/>
    <n v="0.4395"/>
  </r>
  <r>
    <x v="97"/>
    <s v="Hughesberg"/>
    <n v="76566"/>
    <n v="807"/>
    <n v="3426"/>
    <n v="8"/>
    <n v="90"/>
    <x v="1"/>
    <n v="1"/>
    <x v="3"/>
    <n v="0.4395"/>
  </r>
  <r>
    <x v="98"/>
    <s v="Garciamouth"/>
    <n v="57460"/>
    <n v="315"/>
    <n v="48346"/>
    <n v="9"/>
    <n v="30"/>
    <x v="0"/>
    <n v="0"/>
    <x v="0"/>
    <n v="0.4395"/>
  </r>
  <r>
    <x v="99"/>
    <s v="Harringtonview"/>
    <n v="117841"/>
    <n v="646"/>
    <n v="41845"/>
    <n v="25"/>
    <n v="65"/>
    <x v="1"/>
    <n v="1"/>
    <x v="1"/>
    <n v="0.4395"/>
  </r>
  <r>
    <x v="100"/>
    <s v="Finleyfort"/>
    <n v="64993"/>
    <n v="336"/>
    <n v="41465"/>
    <n v="4"/>
    <n v="25"/>
    <x v="0"/>
    <n v="0"/>
    <x v="0"/>
    <n v="0.4395"/>
  </r>
  <r>
    <x v="101"/>
    <s v="Lake Christopher"/>
    <n v="121988"/>
    <n v="400"/>
    <n v="42533"/>
    <n v="6"/>
    <n v="45"/>
    <x v="0"/>
    <n v="0"/>
    <x v="0"/>
    <n v="0.4395"/>
  </r>
  <r>
    <x v="102"/>
    <s v="West Lauraport"/>
    <n v="119593"/>
    <n v="667"/>
    <n v="25565"/>
    <n v="27"/>
    <n v="70"/>
    <x v="1"/>
    <n v="1"/>
    <x v="1"/>
    <n v="0.4395"/>
  </r>
  <r>
    <x v="103"/>
    <s v="East Gregory"/>
    <n v="114939"/>
    <n v="691"/>
    <n v="41613"/>
    <n v="15"/>
    <n v="75"/>
    <x v="1"/>
    <n v="1"/>
    <x v="1"/>
    <n v="0.4395"/>
  </r>
  <r>
    <x v="104"/>
    <s v="Port Stevenport"/>
    <n v="39358"/>
    <n v="461"/>
    <n v="5840"/>
    <n v="28"/>
    <n v="35"/>
    <x v="0"/>
    <n v="0"/>
    <x v="2"/>
    <n v="0.4395"/>
  </r>
  <r>
    <x v="105"/>
    <s v="Vaughnmouth"/>
    <n v="109840"/>
    <n v="609"/>
    <n v="14055"/>
    <n v="24"/>
    <n v="70"/>
    <x v="1"/>
    <n v="1"/>
    <x v="1"/>
    <n v="0.4395"/>
  </r>
  <r>
    <x v="106"/>
    <s v="Baileyport"/>
    <n v="113227"/>
    <n v="322"/>
    <n v="44137"/>
    <n v="25"/>
    <n v="50"/>
    <x v="0"/>
    <n v="0"/>
    <x v="0"/>
    <n v="0.4395"/>
  </r>
  <r>
    <x v="107"/>
    <s v="New Julieport"/>
    <n v="52431"/>
    <n v="535"/>
    <n v="40784"/>
    <n v="22"/>
    <n v="35"/>
    <x v="0"/>
    <n v="0"/>
    <x v="2"/>
    <n v="0.4395"/>
  </r>
  <r>
    <x v="108"/>
    <s v="Lake Colton"/>
    <n v="100010"/>
    <n v="340"/>
    <n v="21246"/>
    <n v="28"/>
    <n v="55"/>
    <x v="0"/>
    <n v="0"/>
    <x v="0"/>
    <n v="0.4395"/>
  </r>
  <r>
    <x v="109"/>
    <s v="Markchester"/>
    <n v="125568"/>
    <n v="479"/>
    <n v="14159"/>
    <n v="8"/>
    <n v="50"/>
    <x v="0"/>
    <n v="0"/>
    <x v="2"/>
    <n v="0.4395"/>
  </r>
  <r>
    <x v="110"/>
    <s v="Mariaview"/>
    <n v="62087"/>
    <n v="793"/>
    <n v="20342"/>
    <n v="21"/>
    <n v="75"/>
    <x v="1"/>
    <n v="1"/>
    <x v="3"/>
    <n v="0.4395"/>
  </r>
  <r>
    <x v="111"/>
    <s v="Port Erica"/>
    <n v="51417"/>
    <n v="706"/>
    <n v="37524"/>
    <n v="23"/>
    <n v="60"/>
    <x v="1"/>
    <n v="1"/>
    <x v="1"/>
    <n v="0.4395"/>
  </r>
  <r>
    <x v="112"/>
    <s v="South Miguelview"/>
    <n v="90589"/>
    <n v="690"/>
    <n v="42847"/>
    <n v="23"/>
    <n v="65"/>
    <x v="1"/>
    <n v="1"/>
    <x v="1"/>
    <n v="0.4395"/>
  </r>
  <r>
    <x v="113"/>
    <s v="Rosebury"/>
    <n v="79735"/>
    <n v="364"/>
    <n v="42641"/>
    <n v="29"/>
    <n v="40"/>
    <x v="0"/>
    <n v="0"/>
    <x v="0"/>
    <n v="0.4395"/>
  </r>
  <r>
    <x v="114"/>
    <s v="North Sophia"/>
    <n v="65382"/>
    <n v="611"/>
    <n v="33284"/>
    <n v="7"/>
    <n v="45"/>
    <x v="0"/>
    <n v="0"/>
    <x v="1"/>
    <n v="0.4395"/>
  </r>
  <r>
    <x v="115"/>
    <s v="Watsonside"/>
    <n v="113886"/>
    <n v="729"/>
    <n v="39491"/>
    <n v="9"/>
    <n v="70"/>
    <x v="1"/>
    <n v="1"/>
    <x v="1"/>
    <n v="0.4395"/>
  </r>
  <r>
    <x v="116"/>
    <s v="Crosbyview"/>
    <n v="120198"/>
    <n v="333"/>
    <n v="46238"/>
    <n v="23"/>
    <n v="50"/>
    <x v="0"/>
    <n v="0"/>
    <x v="0"/>
    <n v="0.4395"/>
  </r>
  <r>
    <x v="117"/>
    <s v="Corystad"/>
    <n v="103000"/>
    <n v="667"/>
    <n v="4968"/>
    <n v="25"/>
    <n v="75"/>
    <x v="1"/>
    <n v="1"/>
    <x v="1"/>
    <n v="0.4395"/>
  </r>
  <r>
    <x v="118"/>
    <s v="Davisborough"/>
    <n v="58785"/>
    <n v="321"/>
    <n v="4314"/>
    <n v="21"/>
    <n v="50"/>
    <x v="0"/>
    <n v="0"/>
    <x v="0"/>
    <n v="0.4395"/>
  </r>
  <r>
    <x v="119"/>
    <s v="Port Kathyborough"/>
    <n v="119733"/>
    <n v="521"/>
    <n v="16269"/>
    <n v="21"/>
    <n v="55"/>
    <x v="0"/>
    <n v="0"/>
    <x v="2"/>
    <n v="0.4395"/>
  </r>
  <r>
    <x v="120"/>
    <s v="Micheleberg"/>
    <n v="72504"/>
    <n v="433"/>
    <n v="36403"/>
    <n v="16"/>
    <n v="35"/>
    <x v="0"/>
    <n v="0"/>
    <x v="0"/>
    <n v="0.4395"/>
  </r>
  <r>
    <x v="121"/>
    <s v="North Michael"/>
    <n v="140474"/>
    <n v="543"/>
    <n v="39591"/>
    <n v="20"/>
    <n v="50"/>
    <x v="0"/>
    <n v="0"/>
    <x v="2"/>
    <n v="0.4395"/>
  </r>
  <r>
    <x v="122"/>
    <s v="Foxland"/>
    <n v="130704"/>
    <n v="787"/>
    <n v="30378"/>
    <n v="23"/>
    <n v="90"/>
    <x v="1"/>
    <n v="1"/>
    <x v="3"/>
    <n v="0.4395"/>
  </r>
  <r>
    <x v="123"/>
    <s v="Lake Kristahaven"/>
    <n v="131711"/>
    <n v="608"/>
    <n v="31018"/>
    <n v="1"/>
    <n v="55"/>
    <x v="0"/>
    <n v="0"/>
    <x v="1"/>
    <n v="0.4395"/>
  </r>
  <r>
    <x v="124"/>
    <s v="South Jennifermouth"/>
    <n v="37331"/>
    <n v="375"/>
    <n v="6294"/>
    <n v="20"/>
    <n v="35"/>
    <x v="0"/>
    <n v="0"/>
    <x v="0"/>
    <n v="0.4395"/>
  </r>
  <r>
    <x v="125"/>
    <s v="Oscarhaven"/>
    <n v="60021"/>
    <n v="601"/>
    <n v="30734"/>
    <n v="32"/>
    <n v="50"/>
    <x v="0"/>
    <n v="0"/>
    <x v="1"/>
    <n v="0.4395"/>
  </r>
  <r>
    <x v="126"/>
    <s v="South Shannon"/>
    <n v="137715"/>
    <n v="533"/>
    <n v="28119"/>
    <n v="21"/>
    <n v="55"/>
    <x v="0"/>
    <n v="0"/>
    <x v="2"/>
    <n v="0.4395"/>
  </r>
  <r>
    <x v="127"/>
    <s v="Ronaldview"/>
    <n v="34207"/>
    <n v="683"/>
    <n v="11003"/>
    <n v="30"/>
    <n v="55"/>
    <x v="0"/>
    <n v="0"/>
    <x v="1"/>
    <n v="0.4395"/>
  </r>
  <r>
    <x v="128"/>
    <s v="Lake Joanneberg"/>
    <n v="135518"/>
    <n v="361"/>
    <n v="39434"/>
    <n v="35"/>
    <n v="50"/>
    <x v="0"/>
    <n v="0"/>
    <x v="0"/>
    <n v="0.4395"/>
  </r>
  <r>
    <x v="129"/>
    <s v="Parrishton"/>
    <n v="71347"/>
    <n v="594"/>
    <n v="40348"/>
    <n v="19"/>
    <n v="50"/>
    <x v="0"/>
    <n v="0"/>
    <x v="2"/>
    <n v="0.4395"/>
  </r>
  <r>
    <x v="130"/>
    <s v="Walkerville"/>
    <n v="82581"/>
    <n v="658"/>
    <n v="37455"/>
    <n v="23"/>
    <n v="55"/>
    <x v="0"/>
    <n v="0"/>
    <x v="1"/>
    <n v="0.4395"/>
  </r>
  <r>
    <x v="131"/>
    <s v="Bruceside"/>
    <n v="65093"/>
    <n v="326"/>
    <n v="40911"/>
    <n v="17"/>
    <n v="35"/>
    <x v="0"/>
    <n v="0"/>
    <x v="0"/>
    <n v="0.4395"/>
  </r>
  <r>
    <x v="132"/>
    <s v="Michaelburgh"/>
    <n v="38675"/>
    <n v="446"/>
    <n v="38114"/>
    <n v="25"/>
    <n v="25"/>
    <x v="0"/>
    <n v="0"/>
    <x v="0"/>
    <n v="0.4395"/>
  </r>
  <r>
    <x v="133"/>
    <s v="Lake Alyssafurt"/>
    <n v="57653"/>
    <n v="729"/>
    <n v="30730"/>
    <n v="21"/>
    <n v="60"/>
    <x v="1"/>
    <n v="1"/>
    <x v="1"/>
    <n v="0.4395"/>
  </r>
  <r>
    <x v="134"/>
    <s v="North Ericton"/>
    <n v="149686"/>
    <n v="383"/>
    <n v="18832"/>
    <n v="28"/>
    <n v="55"/>
    <x v="0"/>
    <n v="0"/>
    <x v="0"/>
    <n v="0.4395"/>
  </r>
  <r>
    <x v="135"/>
    <s v="Jasonhaven"/>
    <n v="104341"/>
    <n v="416"/>
    <n v="23621"/>
    <n v="27"/>
    <n v="55"/>
    <x v="0"/>
    <n v="0"/>
    <x v="0"/>
    <n v="0.4395"/>
  </r>
  <r>
    <x v="136"/>
    <s v="Brandonfurt"/>
    <n v="144867"/>
    <n v="356"/>
    <n v="1503"/>
    <n v="13"/>
    <n v="60"/>
    <x v="1"/>
    <n v="1"/>
    <x v="0"/>
    <n v="0.4395"/>
  </r>
  <r>
    <x v="137"/>
    <s v="Keithville"/>
    <n v="124098"/>
    <n v="307"/>
    <n v="33596"/>
    <n v="27"/>
    <n v="50"/>
    <x v="0"/>
    <n v="0"/>
    <x v="0"/>
    <n v="0.4395"/>
  </r>
  <r>
    <x v="138"/>
    <s v="Charleston"/>
    <n v="71245"/>
    <n v="746"/>
    <n v="2228"/>
    <n v="29"/>
    <n v="85"/>
    <x v="1"/>
    <n v="1"/>
    <x v="1"/>
    <n v="0.4395"/>
  </r>
  <r>
    <x v="139"/>
    <s v="Mckinneychester"/>
    <n v="57869"/>
    <n v="596"/>
    <n v="8548"/>
    <n v="25"/>
    <n v="60"/>
    <x v="1"/>
    <n v="1"/>
    <x v="2"/>
    <n v="0.4395"/>
  </r>
  <r>
    <x v="140"/>
    <s v="Collierstad"/>
    <n v="115909"/>
    <n v="390"/>
    <n v="29620"/>
    <n v="6"/>
    <n v="45"/>
    <x v="0"/>
    <n v="0"/>
    <x v="0"/>
    <n v="0.4395"/>
  </r>
  <r>
    <x v="141"/>
    <s v="Harrellmouth"/>
    <n v="95435"/>
    <n v="526"/>
    <n v="22827"/>
    <n v="10"/>
    <n v="50"/>
    <x v="0"/>
    <n v="0"/>
    <x v="2"/>
    <n v="0.4395"/>
  </r>
  <r>
    <x v="142"/>
    <s v="Port Michael"/>
    <n v="81856"/>
    <n v="451"/>
    <n v="16484"/>
    <n v="6"/>
    <n v="45"/>
    <x v="0"/>
    <n v="0"/>
    <x v="2"/>
    <n v="0.4395"/>
  </r>
  <r>
    <x v="143"/>
    <s v="East Stephaniefort"/>
    <n v="145957"/>
    <n v="775"/>
    <n v="37944"/>
    <n v="37"/>
    <n v="85"/>
    <x v="1"/>
    <n v="1"/>
    <x v="3"/>
    <n v="0.4395"/>
  </r>
  <r>
    <x v="144"/>
    <s v="Michellemouth"/>
    <n v="149871"/>
    <n v="454"/>
    <n v="29820"/>
    <n v="4"/>
    <n v="45"/>
    <x v="0"/>
    <n v="0"/>
    <x v="2"/>
    <n v="0.4395"/>
  </r>
  <r>
    <x v="145"/>
    <s v="West Williamport"/>
    <n v="114259"/>
    <n v="772"/>
    <n v="30616"/>
    <n v="2"/>
    <n v="75"/>
    <x v="1"/>
    <n v="1"/>
    <x v="3"/>
    <n v="0.4395"/>
  </r>
  <r>
    <x v="146"/>
    <s v="New Brookefurt"/>
    <n v="90142"/>
    <n v="773"/>
    <n v="39032"/>
    <n v="35"/>
    <n v="75"/>
    <x v="1"/>
    <n v="1"/>
    <x v="3"/>
    <n v="0.4395"/>
  </r>
  <r>
    <x v="147"/>
    <s v="West Cassidy"/>
    <n v="48726"/>
    <n v="813"/>
    <n v="10886"/>
    <n v="3"/>
    <n v="65"/>
    <x v="1"/>
    <n v="1"/>
    <x v="3"/>
    <n v="0.4395"/>
  </r>
  <r>
    <x v="148"/>
    <s v="New Debbieton"/>
    <n v="64718"/>
    <n v="553"/>
    <n v="47374"/>
    <n v="28"/>
    <n v="35"/>
    <x v="0"/>
    <n v="0"/>
    <x v="2"/>
    <n v="0.4395"/>
  </r>
  <r>
    <x v="149"/>
    <s v="Paulmouth"/>
    <n v="48301"/>
    <n v="353"/>
    <n v="42345"/>
    <n v="21"/>
    <n v="25"/>
    <x v="0"/>
    <n v="0"/>
    <x v="0"/>
    <n v="0.4395"/>
  </r>
  <r>
    <x v="150"/>
    <s v="Johnathanberg"/>
    <n v="62325"/>
    <n v="641"/>
    <n v="6341"/>
    <n v="37"/>
    <n v="60"/>
    <x v="1"/>
    <n v="1"/>
    <x v="1"/>
    <n v="0.4395"/>
  </r>
  <r>
    <x v="151"/>
    <s v="Andersonland"/>
    <n v="127647"/>
    <n v="617"/>
    <n v="37629"/>
    <n v="24"/>
    <n v="65"/>
    <x v="1"/>
    <n v="1"/>
    <x v="1"/>
    <n v="0.4395"/>
  </r>
  <r>
    <x v="152"/>
    <s v="Lake Ellenhaven"/>
    <n v="103579"/>
    <n v="670"/>
    <n v="2194"/>
    <n v="23"/>
    <n v="85"/>
    <x v="1"/>
    <n v="1"/>
    <x v="1"/>
    <n v="0.4395"/>
  </r>
  <r>
    <x v="153"/>
    <s v="Leeberg"/>
    <n v="100644"/>
    <n v="458"/>
    <n v="6057"/>
    <n v="18"/>
    <n v="60"/>
    <x v="1"/>
    <n v="1"/>
    <x v="2"/>
    <n v="0.4395"/>
  </r>
  <r>
    <x v="154"/>
    <s v="Lake Matthewberg"/>
    <n v="64438"/>
    <n v="685"/>
    <n v="11109"/>
    <n v="10"/>
    <n v="70"/>
    <x v="1"/>
    <n v="1"/>
    <x v="1"/>
    <n v="0.4395"/>
  </r>
  <r>
    <x v="155"/>
    <s v="Lake Samuel"/>
    <n v="127912"/>
    <n v="720"/>
    <n v="24874"/>
    <n v="15"/>
    <n v="80"/>
    <x v="1"/>
    <n v="1"/>
    <x v="1"/>
    <n v="0.4395"/>
  </r>
  <r>
    <x v="156"/>
    <s v="Youngbury"/>
    <n v="106622"/>
    <n v="616"/>
    <n v="31737"/>
    <n v="12"/>
    <n v="65"/>
    <x v="1"/>
    <n v="1"/>
    <x v="1"/>
    <n v="0.4395"/>
  </r>
  <r>
    <x v="157"/>
    <s v="Hammondfurt"/>
    <n v="86155"/>
    <n v="814"/>
    <n v="35567"/>
    <n v="26"/>
    <n v="80"/>
    <x v="1"/>
    <n v="1"/>
    <x v="3"/>
    <n v="0.4395"/>
  </r>
  <r>
    <x v="158"/>
    <s v="Port John"/>
    <n v="147679"/>
    <n v="792"/>
    <n v="25327"/>
    <n v="35"/>
    <n v="90"/>
    <x v="1"/>
    <n v="1"/>
    <x v="3"/>
    <n v="0.4395"/>
  </r>
  <r>
    <x v="159"/>
    <s v="West Christopherburgh"/>
    <n v="106484"/>
    <n v="579"/>
    <n v="30446"/>
    <n v="32"/>
    <n v="50"/>
    <x v="0"/>
    <n v="0"/>
    <x v="2"/>
    <n v="0.4395"/>
  </r>
  <r>
    <x v="160"/>
    <s v="Port Shannon"/>
    <n v="82350"/>
    <n v="657"/>
    <n v="2747"/>
    <n v="26"/>
    <n v="70"/>
    <x v="1"/>
    <n v="1"/>
    <x v="1"/>
    <n v="0.4395"/>
  </r>
  <r>
    <x v="161"/>
    <s v="West Jeffreymouth"/>
    <n v="77447"/>
    <n v="401"/>
    <n v="47838"/>
    <n v="21"/>
    <n v="40"/>
    <x v="0"/>
    <n v="0"/>
    <x v="0"/>
    <n v="0.4395"/>
  </r>
  <r>
    <x v="162"/>
    <s v="Hortonberg"/>
    <n v="58746"/>
    <n v="780"/>
    <n v="30399"/>
    <n v="39"/>
    <n v="70"/>
    <x v="1"/>
    <n v="1"/>
    <x v="3"/>
    <n v="0.4395"/>
  </r>
  <r>
    <x v="163"/>
    <s v="New Shelby"/>
    <n v="48131"/>
    <n v="840"/>
    <n v="28738"/>
    <n v="7"/>
    <n v="60"/>
    <x v="1"/>
    <n v="1"/>
    <x v="3"/>
    <n v="0.4395"/>
  </r>
  <r>
    <x v="164"/>
    <s v="South Danielle"/>
    <n v="96784"/>
    <n v="768"/>
    <n v="5116"/>
    <n v="7"/>
    <n v="85"/>
    <x v="1"/>
    <n v="1"/>
    <x v="3"/>
    <n v="0.4395"/>
  </r>
  <r>
    <x v="165"/>
    <s v="Lake Douglas"/>
    <n v="94686"/>
    <n v="739"/>
    <n v="1102"/>
    <n v="39"/>
    <n v="80"/>
    <x v="1"/>
    <n v="1"/>
    <x v="1"/>
    <n v="0.4395"/>
  </r>
  <r>
    <x v="166"/>
    <s v="New Theresaland"/>
    <n v="41915"/>
    <n v="838"/>
    <n v="36656"/>
    <n v="32"/>
    <n v="65"/>
    <x v="1"/>
    <n v="1"/>
    <x v="3"/>
    <n v="0.4395"/>
  </r>
  <r>
    <x v="167"/>
    <s v="Williamsfurt"/>
    <n v="129061"/>
    <n v="682"/>
    <n v="17623"/>
    <n v="1"/>
    <n v="65"/>
    <x v="1"/>
    <n v="1"/>
    <x v="1"/>
    <n v="0.4395"/>
  </r>
  <r>
    <x v="168"/>
    <s v="Port Bonniemouth"/>
    <n v="36175"/>
    <n v="436"/>
    <n v="3905"/>
    <n v="22"/>
    <n v="35"/>
    <x v="0"/>
    <n v="0"/>
    <x v="0"/>
    <n v="0.4395"/>
  </r>
  <r>
    <x v="169"/>
    <s v="Pollardfort"/>
    <n v="142866"/>
    <n v="486"/>
    <n v="9837"/>
    <n v="4"/>
    <n v="50"/>
    <x v="0"/>
    <n v="0"/>
    <x v="2"/>
    <n v="0.4395"/>
  </r>
  <r>
    <x v="170"/>
    <s v="North Kylie"/>
    <n v="44371"/>
    <n v="342"/>
    <n v="21682"/>
    <n v="19"/>
    <n v="25"/>
    <x v="0"/>
    <n v="0"/>
    <x v="0"/>
    <n v="0.4395"/>
  </r>
  <r>
    <x v="171"/>
    <s v="Benjaminborough"/>
    <n v="50033"/>
    <n v="592"/>
    <n v="24394"/>
    <n v="3"/>
    <n v="40"/>
    <x v="0"/>
    <n v="0"/>
    <x v="2"/>
    <n v="0.4395"/>
  </r>
  <r>
    <x v="172"/>
    <s v="Samuelfurt"/>
    <n v="112240"/>
    <n v="750"/>
    <n v="26339"/>
    <n v="21"/>
    <n v="90"/>
    <x v="1"/>
    <n v="1"/>
    <x v="1"/>
    <n v="0.4395"/>
  </r>
  <r>
    <x v="173"/>
    <s v="Lauriechester"/>
    <n v="50969"/>
    <n v="380"/>
    <n v="29220"/>
    <n v="38"/>
    <n v="35"/>
    <x v="0"/>
    <n v="0"/>
    <x v="0"/>
    <n v="0.4395"/>
  </r>
  <r>
    <x v="174"/>
    <s v="Donnaport"/>
    <n v="133819"/>
    <n v="756"/>
    <n v="40493"/>
    <n v="27"/>
    <n v="85"/>
    <x v="1"/>
    <n v="1"/>
    <x v="3"/>
    <n v="0.4395"/>
  </r>
  <r>
    <x v="175"/>
    <s v="Christinachester"/>
    <n v="119192"/>
    <n v="581"/>
    <n v="42908"/>
    <n v="3"/>
    <n v="55"/>
    <x v="0"/>
    <n v="0"/>
    <x v="2"/>
    <n v="0.4395"/>
  </r>
  <r>
    <x v="176"/>
    <s v="North Douglas"/>
    <n v="85333"/>
    <n v="748"/>
    <n v="3280"/>
    <n v="8"/>
    <n v="85"/>
    <x v="1"/>
    <n v="1"/>
    <x v="1"/>
    <n v="0.4395"/>
  </r>
  <r>
    <x v="177"/>
    <s v="Herrington"/>
    <n v="108172"/>
    <n v="457"/>
    <n v="45503"/>
    <n v="28"/>
    <n v="45"/>
    <x v="0"/>
    <n v="0"/>
    <x v="2"/>
    <n v="0.4395"/>
  </r>
  <r>
    <x v="178"/>
    <s v="New Michael"/>
    <n v="38326"/>
    <n v="621"/>
    <n v="43569"/>
    <n v="17"/>
    <n v="40"/>
    <x v="0"/>
    <n v="0"/>
    <x v="1"/>
    <n v="0.4395"/>
  </r>
  <r>
    <x v="179"/>
    <s v="Holmesside"/>
    <n v="80432"/>
    <n v="420"/>
    <n v="18155"/>
    <n v="16"/>
    <n v="50"/>
    <x v="0"/>
    <n v="0"/>
    <x v="0"/>
    <n v="0.4395"/>
  </r>
  <r>
    <x v="180"/>
    <s v="Gonzalezberg"/>
    <n v="80019"/>
    <n v="375"/>
    <n v="30625"/>
    <n v="11"/>
    <n v="45"/>
    <x v="0"/>
    <n v="0"/>
    <x v="0"/>
    <n v="0.4395"/>
  </r>
  <r>
    <x v="181"/>
    <s v="Elizabethland"/>
    <n v="108104"/>
    <n v="597"/>
    <n v="20657"/>
    <n v="10"/>
    <n v="70"/>
    <x v="1"/>
    <n v="1"/>
    <x v="2"/>
    <n v="0.4395"/>
  </r>
  <r>
    <x v="182"/>
    <s v="Williamville"/>
    <n v="91348"/>
    <n v="505"/>
    <n v="10101"/>
    <n v="15"/>
    <n v="50"/>
    <x v="0"/>
    <n v="0"/>
    <x v="2"/>
    <n v="0.4395"/>
  </r>
  <r>
    <x v="183"/>
    <s v="Tannerside"/>
    <n v="99352"/>
    <n v="432"/>
    <n v="41104"/>
    <n v="5"/>
    <n v="35"/>
    <x v="0"/>
    <n v="0"/>
    <x v="0"/>
    <n v="0.4395"/>
  </r>
  <r>
    <x v="184"/>
    <s v="Foxchester"/>
    <n v="62953"/>
    <n v="375"/>
    <n v="9213"/>
    <n v="20"/>
    <n v="45"/>
    <x v="0"/>
    <n v="0"/>
    <x v="0"/>
    <n v="0.4395"/>
  </r>
  <r>
    <x v="185"/>
    <s v="Davidside"/>
    <n v="102512"/>
    <n v="486"/>
    <n v="9456"/>
    <n v="27"/>
    <n v="60"/>
    <x v="1"/>
    <n v="1"/>
    <x v="2"/>
    <n v="0.4395"/>
  </r>
  <r>
    <x v="186"/>
    <s v="West Fred"/>
    <n v="142824"/>
    <n v="630"/>
    <n v="47486"/>
    <n v="14"/>
    <n v="65"/>
    <x v="1"/>
    <n v="1"/>
    <x v="1"/>
    <n v="0.4395"/>
  </r>
  <r>
    <x v="187"/>
    <s v="West Jamesside"/>
    <n v="31504"/>
    <n v="581"/>
    <n v="9203"/>
    <n v="40"/>
    <n v="45"/>
    <x v="0"/>
    <n v="0"/>
    <x v="2"/>
    <n v="0.4395"/>
  </r>
  <r>
    <x v="188"/>
    <s v="New Shelly"/>
    <n v="119166"/>
    <n v="457"/>
    <n v="12219"/>
    <n v="39"/>
    <n v="55"/>
    <x v="0"/>
    <n v="0"/>
    <x v="2"/>
    <n v="0.4395"/>
  </r>
  <r>
    <x v="189"/>
    <s v="Port Michelleland"/>
    <n v="124466"/>
    <n v="346"/>
    <n v="43038"/>
    <n v="36"/>
    <n v="50"/>
    <x v="0"/>
    <n v="0"/>
    <x v="0"/>
    <n v="0.4395"/>
  </r>
  <r>
    <x v="190"/>
    <s v="South Pamelaside"/>
    <n v="45014"/>
    <n v="596"/>
    <n v="43068"/>
    <n v="19"/>
    <n v="40"/>
    <x v="0"/>
    <n v="0"/>
    <x v="2"/>
    <n v="0.4395"/>
  </r>
  <r>
    <x v="191"/>
    <s v="Lake Brianmouth"/>
    <n v="119353"/>
    <n v="725"/>
    <n v="32735"/>
    <n v="29"/>
    <n v="75"/>
    <x v="1"/>
    <n v="1"/>
    <x v="1"/>
    <n v="0.4395"/>
  </r>
  <r>
    <x v="192"/>
    <s v="Jessicastad"/>
    <n v="145970"/>
    <n v="708"/>
    <n v="9569"/>
    <n v="23"/>
    <n v="85"/>
    <x v="1"/>
    <n v="1"/>
    <x v="1"/>
    <n v="0.4395"/>
  </r>
  <r>
    <x v="193"/>
    <s v="West Shannonberg"/>
    <n v="100381"/>
    <n v="399"/>
    <n v="4316"/>
    <n v="18"/>
    <n v="60"/>
    <x v="1"/>
    <n v="1"/>
    <x v="0"/>
    <n v="0.4395"/>
  </r>
  <r>
    <x v="194"/>
    <s v="Port Mark"/>
    <n v="128419"/>
    <n v="620"/>
    <n v="13440"/>
    <n v="10"/>
    <n v="70"/>
    <x v="1"/>
    <n v="1"/>
    <x v="1"/>
    <n v="0.4395"/>
  </r>
  <r>
    <x v="195"/>
    <s v="Wagnerbury"/>
    <n v="64973"/>
    <n v="520"/>
    <n v="39230"/>
    <n v="22"/>
    <n v="35"/>
    <x v="0"/>
    <n v="0"/>
    <x v="2"/>
    <n v="0.4395"/>
  </r>
  <r>
    <x v="196"/>
    <s v="Mitchelltown"/>
    <n v="130741"/>
    <n v="410"/>
    <n v="29241"/>
    <n v="8"/>
    <n v="50"/>
    <x v="0"/>
    <n v="0"/>
    <x v="0"/>
    <n v="0.4395"/>
  </r>
  <r>
    <x v="197"/>
    <s v="Brandonton"/>
    <n v="114012"/>
    <n v="499"/>
    <n v="24758"/>
    <n v="35"/>
    <n v="55"/>
    <x v="0"/>
    <n v="0"/>
    <x v="2"/>
    <n v="0.4395"/>
  </r>
  <r>
    <x v="198"/>
    <s v="Marciaville"/>
    <n v="74587"/>
    <n v="431"/>
    <n v="7336"/>
    <n v="25"/>
    <n v="50"/>
    <x v="0"/>
    <n v="0"/>
    <x v="0"/>
    <n v="0.4395"/>
  </r>
  <r>
    <x v="199"/>
    <s v="Kariborough"/>
    <n v="44621"/>
    <n v="821"/>
    <n v="27305"/>
    <n v="32"/>
    <n v="65"/>
    <x v="1"/>
    <n v="1"/>
    <x v="3"/>
    <n v="0.4395"/>
  </r>
  <r>
    <x v="200"/>
    <s v="Stoneberg"/>
    <n v="68469"/>
    <n v="827"/>
    <n v="10160"/>
    <n v="20"/>
    <n v="85"/>
    <x v="1"/>
    <n v="1"/>
    <x v="3"/>
    <n v="0.4395"/>
  </r>
  <r>
    <x v="201"/>
    <s v="Brittneyhaven"/>
    <n v="86985"/>
    <n v="821"/>
    <n v="35887"/>
    <n v="31"/>
    <n v="80"/>
    <x v="1"/>
    <n v="1"/>
    <x v="3"/>
    <n v="0.4395"/>
  </r>
  <r>
    <x v="202"/>
    <s v="Markville"/>
    <n v="50730"/>
    <n v="726"/>
    <n v="39253"/>
    <n v="19"/>
    <n v="60"/>
    <x v="1"/>
    <n v="1"/>
    <x v="1"/>
    <n v="0.4395"/>
  </r>
  <r>
    <x v="203"/>
    <s v="New Thomasshire"/>
    <n v="89470"/>
    <n v="533"/>
    <n v="48277"/>
    <n v="3"/>
    <n v="30"/>
    <x v="0"/>
    <n v="0"/>
    <x v="2"/>
    <n v="0.4395"/>
  </r>
  <r>
    <x v="204"/>
    <s v="Hernandezbury"/>
    <n v="30425"/>
    <n v="332"/>
    <n v="38523"/>
    <n v="7"/>
    <n v="20"/>
    <x v="0"/>
    <n v="0"/>
    <x v="0"/>
    <n v="0.4395"/>
  </r>
  <r>
    <x v="205"/>
    <s v="Vaughnchester"/>
    <n v="124646"/>
    <n v="813"/>
    <n v="41073"/>
    <n v="30"/>
    <n v="90"/>
    <x v="1"/>
    <n v="1"/>
    <x v="3"/>
    <n v="0.4395"/>
  </r>
  <r>
    <x v="206"/>
    <s v="New Jared"/>
    <n v="144799"/>
    <n v="632"/>
    <n v="44399"/>
    <n v="30"/>
    <n v="65"/>
    <x v="1"/>
    <n v="1"/>
    <x v="1"/>
    <n v="0.4395"/>
  </r>
  <r>
    <x v="207"/>
    <s v="Amyview"/>
    <n v="124329"/>
    <n v="795"/>
    <n v="13600"/>
    <n v="15"/>
    <n v="90"/>
    <x v="1"/>
    <n v="1"/>
    <x v="3"/>
    <n v="0.4395"/>
  </r>
  <r>
    <x v="208"/>
    <s v="Kellieborough"/>
    <n v="64522"/>
    <n v="800"/>
    <n v="21777"/>
    <n v="30"/>
    <n v="80"/>
    <x v="1"/>
    <n v="1"/>
    <x v="3"/>
    <n v="0.4395"/>
  </r>
  <r>
    <x v="209"/>
    <s v="Keithshire"/>
    <n v="95612"/>
    <n v="688"/>
    <n v="26856"/>
    <n v="22"/>
    <n v="70"/>
    <x v="1"/>
    <n v="1"/>
    <x v="1"/>
    <n v="0.4395"/>
  </r>
  <r>
    <x v="210"/>
    <s v="Stephanieland"/>
    <n v="129871"/>
    <n v="654"/>
    <n v="29991"/>
    <n v="16"/>
    <n v="70"/>
    <x v="1"/>
    <n v="1"/>
    <x v="1"/>
    <n v="0.4395"/>
  </r>
  <r>
    <x v="211"/>
    <s v="Sarahview"/>
    <n v="53416"/>
    <n v="440"/>
    <n v="8158"/>
    <n v="39"/>
    <n v="45"/>
    <x v="0"/>
    <n v="0"/>
    <x v="0"/>
    <n v="0.4395"/>
  </r>
  <r>
    <x v="212"/>
    <s v="Lake Jesse"/>
    <n v="96542"/>
    <n v="402"/>
    <n v="28086"/>
    <n v="21"/>
    <n v="45"/>
    <x v="0"/>
    <n v="0"/>
    <x v="0"/>
    <n v="0.4395"/>
  </r>
  <r>
    <x v="213"/>
    <s v="New Tiffanyburgh"/>
    <n v="149619"/>
    <n v="716"/>
    <n v="43787"/>
    <n v="30"/>
    <n v="75"/>
    <x v="1"/>
    <n v="1"/>
    <x v="1"/>
    <n v="0.4395"/>
  </r>
  <r>
    <x v="214"/>
    <s v="Justinton"/>
    <n v="43947"/>
    <n v="391"/>
    <n v="43749"/>
    <n v="36"/>
    <n v="25"/>
    <x v="0"/>
    <n v="0"/>
    <x v="0"/>
    <n v="0.4395"/>
  </r>
  <r>
    <x v="215"/>
    <s v="East Robertburgh"/>
    <n v="144100"/>
    <n v="337"/>
    <n v="27017"/>
    <n v="31"/>
    <n v="55"/>
    <x v="0"/>
    <n v="0"/>
    <x v="0"/>
    <n v="0.4395"/>
  </r>
  <r>
    <x v="216"/>
    <s v="Nancytown"/>
    <n v="111959"/>
    <n v="605"/>
    <n v="38221"/>
    <n v="38"/>
    <n v="65"/>
    <x v="1"/>
    <n v="1"/>
    <x v="1"/>
    <n v="0.4395"/>
  </r>
  <r>
    <x v="217"/>
    <s v="Smallberg"/>
    <n v="69117"/>
    <n v="816"/>
    <n v="31672"/>
    <n v="17"/>
    <n v="75"/>
    <x v="1"/>
    <n v="1"/>
    <x v="3"/>
    <n v="0.4395"/>
  </r>
  <r>
    <x v="218"/>
    <s v="Wongburgh"/>
    <n v="140319"/>
    <n v="314"/>
    <n v="49274"/>
    <n v="21"/>
    <n v="50"/>
    <x v="0"/>
    <n v="0"/>
    <x v="0"/>
    <n v="0.4395"/>
  </r>
  <r>
    <x v="219"/>
    <s v="New Melissa"/>
    <n v="113748"/>
    <n v="715"/>
    <n v="29029"/>
    <n v="32"/>
    <n v="75"/>
    <x v="1"/>
    <n v="1"/>
    <x v="1"/>
    <n v="0.4395"/>
  </r>
  <r>
    <x v="220"/>
    <s v="South Marcus"/>
    <n v="96540"/>
    <n v="554"/>
    <n v="1447"/>
    <n v="16"/>
    <n v="55"/>
    <x v="0"/>
    <n v="0"/>
    <x v="2"/>
    <n v="0.4395"/>
  </r>
  <r>
    <x v="221"/>
    <s v="Kevinshire"/>
    <n v="109818"/>
    <n v="311"/>
    <n v="18141"/>
    <n v="23"/>
    <n v="55"/>
    <x v="0"/>
    <n v="0"/>
    <x v="0"/>
    <n v="0.4395"/>
  </r>
  <r>
    <x v="222"/>
    <s v="Erikhaven"/>
    <n v="56071"/>
    <n v="618"/>
    <n v="46238"/>
    <n v="7"/>
    <n v="45"/>
    <x v="0"/>
    <n v="0"/>
    <x v="1"/>
    <n v="0.4395"/>
  </r>
  <r>
    <x v="223"/>
    <s v="East Susan"/>
    <n v="50032"/>
    <n v="789"/>
    <n v="11039"/>
    <n v="29"/>
    <n v="80"/>
    <x v="1"/>
    <n v="1"/>
    <x v="3"/>
    <n v="0.4395"/>
  </r>
  <r>
    <x v="224"/>
    <s v="Toddborough"/>
    <n v="79009"/>
    <n v="553"/>
    <n v="45586"/>
    <n v="38"/>
    <n v="40"/>
    <x v="0"/>
    <n v="0"/>
    <x v="2"/>
    <n v="0.4395"/>
  </r>
  <r>
    <x v="225"/>
    <s v="Christianshire"/>
    <n v="129943"/>
    <n v="414"/>
    <n v="5047"/>
    <n v="35"/>
    <n v="60"/>
    <x v="1"/>
    <n v="1"/>
    <x v="0"/>
    <n v="0.4395"/>
  </r>
  <r>
    <x v="226"/>
    <s v="West Melissa"/>
    <n v="51174"/>
    <n v="752"/>
    <n v="8617"/>
    <n v="13"/>
    <n v="80"/>
    <x v="1"/>
    <n v="1"/>
    <x v="3"/>
    <n v="0.4395"/>
  </r>
  <r>
    <x v="227"/>
    <s v="Stokesmouth"/>
    <n v="100697"/>
    <n v="435"/>
    <n v="34636"/>
    <n v="26"/>
    <n v="50"/>
    <x v="0"/>
    <n v="0"/>
    <x v="0"/>
    <n v="0.4395"/>
  </r>
  <r>
    <x v="228"/>
    <s v="Jenniferfurt"/>
    <n v="132056"/>
    <n v="560"/>
    <n v="1197"/>
    <n v="13"/>
    <n v="60"/>
    <x v="1"/>
    <n v="1"/>
    <x v="2"/>
    <n v="0.4395"/>
  </r>
  <r>
    <x v="229"/>
    <s v="New Virginialand"/>
    <n v="99514"/>
    <n v="783"/>
    <n v="3079"/>
    <n v="18"/>
    <n v="90"/>
    <x v="1"/>
    <n v="1"/>
    <x v="3"/>
    <n v="0.4395"/>
  </r>
  <r>
    <x v="230"/>
    <s v="Brooksfurt"/>
    <n v="30074"/>
    <n v="759"/>
    <n v="25739"/>
    <n v="24"/>
    <n v="60"/>
    <x v="1"/>
    <n v="1"/>
    <x v="3"/>
    <n v="0.4395"/>
  </r>
  <r>
    <x v="231"/>
    <s v="Lake Michelle"/>
    <n v="108504"/>
    <n v="421"/>
    <n v="12696"/>
    <n v="34"/>
    <n v="55"/>
    <x v="0"/>
    <n v="0"/>
    <x v="0"/>
    <n v="0.4395"/>
  </r>
  <r>
    <x v="232"/>
    <s v="Port Andrewport"/>
    <n v="72487"/>
    <n v="774"/>
    <n v="45138"/>
    <n v="34"/>
    <n v="70"/>
    <x v="1"/>
    <n v="1"/>
    <x v="3"/>
    <n v="0.4395"/>
  </r>
  <r>
    <x v="233"/>
    <s v="Reedview"/>
    <n v="94042"/>
    <n v="493"/>
    <n v="48515"/>
    <n v="7"/>
    <n v="35"/>
    <x v="0"/>
    <n v="0"/>
    <x v="2"/>
    <n v="0.4395"/>
  </r>
  <r>
    <x v="234"/>
    <s v="East Jamieville"/>
    <n v="32552"/>
    <n v="334"/>
    <n v="30257"/>
    <n v="38"/>
    <n v="25"/>
    <x v="0"/>
    <n v="0"/>
    <x v="0"/>
    <n v="0.4395"/>
  </r>
  <r>
    <x v="235"/>
    <s v="South Scottside"/>
    <n v="44662"/>
    <n v="522"/>
    <n v="4699"/>
    <n v="8"/>
    <n v="30"/>
    <x v="0"/>
    <n v="0"/>
    <x v="2"/>
    <n v="0.4395"/>
  </r>
  <r>
    <x v="236"/>
    <s v="Barbaramouth"/>
    <n v="77576"/>
    <n v="542"/>
    <n v="20776"/>
    <n v="9"/>
    <n v="40"/>
    <x v="0"/>
    <n v="0"/>
    <x v="2"/>
    <n v="0.4395"/>
  </r>
  <r>
    <x v="237"/>
    <s v="Lake Erika"/>
    <n v="145175"/>
    <n v="807"/>
    <n v="4072"/>
    <n v="22"/>
    <n v="100"/>
    <x v="1"/>
    <n v="1"/>
    <x v="3"/>
    <n v="0.4395"/>
  </r>
  <r>
    <x v="238"/>
    <s v="Heatherchester"/>
    <n v="139008"/>
    <n v="452"/>
    <n v="20653"/>
    <n v="24"/>
    <n v="55"/>
    <x v="0"/>
    <n v="0"/>
    <x v="2"/>
    <n v="0.4395"/>
  </r>
  <r>
    <x v="239"/>
    <s v="West Meredith"/>
    <n v="135745"/>
    <n v="447"/>
    <n v="31344"/>
    <n v="3"/>
    <n v="45"/>
    <x v="0"/>
    <n v="0"/>
    <x v="0"/>
    <n v="0.4395"/>
  </r>
  <r>
    <x v="240"/>
    <s v="South John"/>
    <n v="70306"/>
    <n v="508"/>
    <n v="22644"/>
    <n v="5"/>
    <n v="35"/>
    <x v="0"/>
    <n v="0"/>
    <x v="2"/>
    <n v="0.4395"/>
  </r>
  <r>
    <x v="241"/>
    <s v="North Joseph"/>
    <n v="61385"/>
    <n v="340"/>
    <n v="5769"/>
    <n v="12"/>
    <n v="50"/>
    <x v="0"/>
    <n v="0"/>
    <x v="0"/>
    <n v="0.4395"/>
  </r>
  <r>
    <x v="242"/>
    <s v="South Jason"/>
    <n v="37592"/>
    <n v="640"/>
    <n v="20869"/>
    <n v="0"/>
    <n v="25"/>
    <x v="0"/>
    <n v="0"/>
    <x v="1"/>
    <n v="0.4395"/>
  </r>
  <r>
    <x v="243"/>
    <s v="Rochaborough"/>
    <n v="61571"/>
    <n v="706"/>
    <n v="16684"/>
    <n v="35"/>
    <n v="65"/>
    <x v="1"/>
    <n v="1"/>
    <x v="1"/>
    <n v="0.4395"/>
  </r>
  <r>
    <x v="244"/>
    <s v="Kylestad"/>
    <n v="145082"/>
    <n v="825"/>
    <n v="33589"/>
    <n v="29"/>
    <n v="95"/>
    <x v="1"/>
    <n v="1"/>
    <x v="3"/>
    <n v="0.4395"/>
  </r>
  <r>
    <x v="245"/>
    <s v="Robinstad"/>
    <n v="104364"/>
    <n v="620"/>
    <n v="28127"/>
    <n v="2"/>
    <n v="55"/>
    <x v="0"/>
    <n v="0"/>
    <x v="1"/>
    <n v="0.4395"/>
  </r>
  <r>
    <x v="246"/>
    <s v="Angelashire"/>
    <n v="40322"/>
    <n v="727"/>
    <n v="20345"/>
    <n v="9"/>
    <n v="45"/>
    <x v="0"/>
    <n v="0"/>
    <x v="1"/>
    <n v="0.4395"/>
  </r>
  <r>
    <x v="247"/>
    <s v="South Andrea"/>
    <n v="41226"/>
    <n v="645"/>
    <n v="17864"/>
    <n v="31"/>
    <n v="40"/>
    <x v="0"/>
    <n v="0"/>
    <x v="1"/>
    <n v="0.4395"/>
  </r>
  <r>
    <x v="248"/>
    <s v="Lake Laura"/>
    <n v="125932"/>
    <n v="473"/>
    <n v="10172"/>
    <n v="34"/>
    <n v="60"/>
    <x v="1"/>
    <n v="1"/>
    <x v="2"/>
    <n v="0.4395"/>
  </r>
  <r>
    <x v="249"/>
    <s v="New Arthurland"/>
    <n v="93699"/>
    <n v="349"/>
    <n v="1418"/>
    <n v="26"/>
    <n v="55"/>
    <x v="0"/>
    <n v="0"/>
    <x v="0"/>
    <n v="0.4395"/>
  </r>
  <r>
    <x v="250"/>
    <s v="North Jeffery"/>
    <n v="136957"/>
    <n v="766"/>
    <n v="25458"/>
    <n v="3"/>
    <n v="80"/>
    <x v="1"/>
    <n v="1"/>
    <x v="3"/>
    <n v="0.4395"/>
  </r>
  <r>
    <x v="251"/>
    <s v="Hopkinstown"/>
    <n v="39071"/>
    <n v="306"/>
    <n v="35879"/>
    <n v="35"/>
    <n v="25"/>
    <x v="0"/>
    <n v="0"/>
    <x v="0"/>
    <n v="0.4395"/>
  </r>
  <r>
    <x v="252"/>
    <s v="Andrechester"/>
    <n v="129693"/>
    <n v="483"/>
    <n v="8013"/>
    <n v="6"/>
    <n v="55"/>
    <x v="0"/>
    <n v="0"/>
    <x v="2"/>
    <n v="0.4395"/>
  </r>
  <r>
    <x v="253"/>
    <s v="Lisaview"/>
    <n v="99822"/>
    <n v="706"/>
    <n v="6178"/>
    <n v="23"/>
    <n v="80"/>
    <x v="1"/>
    <n v="1"/>
    <x v="1"/>
    <n v="0.4395"/>
  </r>
  <r>
    <x v="254"/>
    <s v="West Gabriella"/>
    <n v="130379"/>
    <n v="382"/>
    <n v="43843"/>
    <n v="2"/>
    <n v="40"/>
    <x v="0"/>
    <n v="0"/>
    <x v="0"/>
    <n v="0.4395"/>
  </r>
  <r>
    <x v="255"/>
    <s v="Lake Albertburgh"/>
    <n v="46483"/>
    <n v="384"/>
    <n v="33758"/>
    <n v="27"/>
    <n v="25"/>
    <x v="0"/>
    <n v="0"/>
    <x v="0"/>
    <n v="0.4395"/>
  </r>
  <r>
    <x v="256"/>
    <s v="New Samanthabury"/>
    <n v="46828"/>
    <n v="516"/>
    <n v="46369"/>
    <n v="36"/>
    <n v="25"/>
    <x v="0"/>
    <n v="0"/>
    <x v="2"/>
    <n v="0.4395"/>
  </r>
  <r>
    <x v="257"/>
    <s v="Rachelshire"/>
    <n v="116474"/>
    <n v="333"/>
    <n v="12754"/>
    <n v="20"/>
    <n v="55"/>
    <x v="0"/>
    <n v="0"/>
    <x v="0"/>
    <n v="0.4395"/>
  </r>
  <r>
    <x v="258"/>
    <s v="Hickmanport"/>
    <n v="92296"/>
    <n v="466"/>
    <n v="37959"/>
    <n v="15"/>
    <n v="40"/>
    <x v="0"/>
    <n v="0"/>
    <x v="2"/>
    <n v="0.4395"/>
  </r>
  <r>
    <x v="259"/>
    <s v="Patrickberg"/>
    <n v="102063"/>
    <n v="380"/>
    <n v="33819"/>
    <n v="22"/>
    <n v="50"/>
    <x v="0"/>
    <n v="0"/>
    <x v="0"/>
    <n v="0.4395"/>
  </r>
  <r>
    <x v="260"/>
    <s v="Cassiefurt"/>
    <n v="51643"/>
    <n v="634"/>
    <n v="2941"/>
    <n v="40"/>
    <n v="65"/>
    <x v="1"/>
    <n v="1"/>
    <x v="1"/>
    <n v="0.4395"/>
  </r>
  <r>
    <x v="261"/>
    <s v="Angelafurt"/>
    <n v="64741"/>
    <n v="742"/>
    <n v="13172"/>
    <n v="37"/>
    <n v="80"/>
    <x v="1"/>
    <n v="1"/>
    <x v="1"/>
    <n v="0.4395"/>
  </r>
  <r>
    <x v="262"/>
    <s v="Lake Charles"/>
    <n v="99163"/>
    <n v="574"/>
    <n v="11107"/>
    <n v="24"/>
    <n v="50"/>
    <x v="0"/>
    <n v="0"/>
    <x v="2"/>
    <n v="0.4395"/>
  </r>
  <r>
    <x v="263"/>
    <s v="Michaelland"/>
    <n v="144351"/>
    <n v="305"/>
    <n v="21202"/>
    <n v="28"/>
    <n v="55"/>
    <x v="0"/>
    <n v="0"/>
    <x v="0"/>
    <n v="0.4395"/>
  </r>
  <r>
    <x v="264"/>
    <s v="South Shane"/>
    <n v="109507"/>
    <n v="824"/>
    <n v="27741"/>
    <n v="6"/>
    <n v="85"/>
    <x v="1"/>
    <n v="1"/>
    <x v="3"/>
    <n v="0.4395"/>
  </r>
  <r>
    <x v="265"/>
    <s v="Michelletown"/>
    <n v="85461"/>
    <n v="598"/>
    <n v="28119"/>
    <n v="24"/>
    <n v="60"/>
    <x v="1"/>
    <n v="1"/>
    <x v="2"/>
    <n v="0.4395"/>
  </r>
  <r>
    <x v="266"/>
    <s v="New Adriana"/>
    <n v="57760"/>
    <n v="689"/>
    <n v="12108"/>
    <n v="8"/>
    <n v="65"/>
    <x v="1"/>
    <n v="1"/>
    <x v="1"/>
    <n v="0.4395"/>
  </r>
  <r>
    <x v="267"/>
    <s v="South Joshua"/>
    <n v="100686"/>
    <n v="606"/>
    <n v="32734"/>
    <n v="4"/>
    <n v="55"/>
    <x v="0"/>
    <n v="0"/>
    <x v="1"/>
    <n v="0.4395"/>
  </r>
  <r>
    <x v="268"/>
    <s v="Wheelerborough"/>
    <n v="128994"/>
    <n v="768"/>
    <n v="8010"/>
    <n v="8"/>
    <n v="90"/>
    <x v="1"/>
    <n v="1"/>
    <x v="3"/>
    <n v="0.4395"/>
  </r>
  <r>
    <x v="269"/>
    <s v="Brockmouth"/>
    <n v="125673"/>
    <n v="750"/>
    <n v="22937"/>
    <n v="27"/>
    <n v="90"/>
    <x v="1"/>
    <n v="1"/>
    <x v="1"/>
    <n v="0.4395"/>
  </r>
  <r>
    <x v="270"/>
    <s v="West Malik"/>
    <n v="120422"/>
    <n v="505"/>
    <n v="32392"/>
    <n v="20"/>
    <n v="50"/>
    <x v="0"/>
    <n v="0"/>
    <x v="2"/>
    <n v="0.4395"/>
  </r>
  <r>
    <x v="271"/>
    <s v="Faulknerbury"/>
    <n v="56365"/>
    <n v="633"/>
    <n v="25645"/>
    <n v="17"/>
    <n v="50"/>
    <x v="0"/>
    <n v="0"/>
    <x v="1"/>
    <n v="0.4395"/>
  </r>
  <r>
    <x v="272"/>
    <s v="New Wendy"/>
    <n v="123447"/>
    <n v="484"/>
    <n v="45676"/>
    <n v="35"/>
    <n v="50"/>
    <x v="0"/>
    <n v="0"/>
    <x v="2"/>
    <n v="0.4395"/>
  </r>
  <r>
    <x v="273"/>
    <s v="South Lauren"/>
    <n v="70857"/>
    <n v="370"/>
    <n v="27813"/>
    <n v="31"/>
    <n v="40"/>
    <x v="0"/>
    <n v="0"/>
    <x v="0"/>
    <n v="0.4395"/>
  </r>
  <r>
    <x v="274"/>
    <s v="Lake Rodney"/>
    <n v="82296"/>
    <n v="686"/>
    <n v="5847"/>
    <n v="28"/>
    <n v="80"/>
    <x v="1"/>
    <n v="1"/>
    <x v="1"/>
    <n v="0.4395"/>
  </r>
  <r>
    <x v="275"/>
    <s v="Stephensstad"/>
    <n v="118039"/>
    <n v="849"/>
    <n v="39916"/>
    <n v="40"/>
    <n v="90"/>
    <x v="1"/>
    <n v="1"/>
    <x v="3"/>
    <n v="0.4395"/>
  </r>
  <r>
    <x v="276"/>
    <s v="Gabrielton"/>
    <n v="115180"/>
    <n v="709"/>
    <n v="22731"/>
    <n v="27"/>
    <n v="80"/>
    <x v="1"/>
    <n v="1"/>
    <x v="1"/>
    <n v="0.4395"/>
  </r>
  <r>
    <x v="277"/>
    <s v="South Neil"/>
    <n v="78944"/>
    <n v="774"/>
    <n v="45535"/>
    <n v="37"/>
    <n v="75"/>
    <x v="1"/>
    <n v="1"/>
    <x v="3"/>
    <n v="0.4395"/>
  </r>
  <r>
    <x v="278"/>
    <s v="Garciachester"/>
    <n v="87422"/>
    <n v="387"/>
    <n v="8606"/>
    <n v="9"/>
    <n v="50"/>
    <x v="0"/>
    <n v="0"/>
    <x v="0"/>
    <n v="0.4395"/>
  </r>
  <r>
    <x v="279"/>
    <s v="Baileyville"/>
    <n v="147914"/>
    <n v="748"/>
    <n v="48316"/>
    <n v="28"/>
    <n v="85"/>
    <x v="1"/>
    <n v="1"/>
    <x v="1"/>
    <n v="0.4395"/>
  </r>
  <r>
    <x v="280"/>
    <s v="North Melindaville"/>
    <n v="97839"/>
    <n v="468"/>
    <n v="49528"/>
    <n v="15"/>
    <n v="40"/>
    <x v="0"/>
    <n v="0"/>
    <x v="2"/>
    <n v="0.4395"/>
  </r>
  <r>
    <x v="281"/>
    <s v="Mullenbury"/>
    <n v="89177"/>
    <n v="714"/>
    <n v="42271"/>
    <n v="11"/>
    <n v="65"/>
    <x v="1"/>
    <n v="1"/>
    <x v="1"/>
    <n v="0.4395"/>
  </r>
  <r>
    <x v="282"/>
    <s v="South Brittany"/>
    <n v="45860"/>
    <n v="698"/>
    <n v="1291"/>
    <n v="13"/>
    <n v="65"/>
    <x v="1"/>
    <n v="1"/>
    <x v="1"/>
    <n v="0.4395"/>
  </r>
  <r>
    <x v="283"/>
    <s v="New Cristianside"/>
    <n v="62493"/>
    <n v="491"/>
    <n v="24972"/>
    <n v="20"/>
    <n v="40"/>
    <x v="0"/>
    <n v="0"/>
    <x v="2"/>
    <n v="0.4395"/>
  </r>
  <r>
    <x v="284"/>
    <s v="Rosemouth"/>
    <n v="59451"/>
    <n v="697"/>
    <n v="41062"/>
    <n v="25"/>
    <n v="60"/>
    <x v="1"/>
    <n v="1"/>
    <x v="1"/>
    <n v="0.4395"/>
  </r>
  <r>
    <x v="285"/>
    <s v="Port Emily"/>
    <n v="38392"/>
    <n v="604"/>
    <n v="41270"/>
    <n v="37"/>
    <n v="40"/>
    <x v="0"/>
    <n v="0"/>
    <x v="1"/>
    <n v="0.4395"/>
  </r>
  <r>
    <x v="286"/>
    <s v="Darylstad"/>
    <n v="74313"/>
    <n v="444"/>
    <n v="34477"/>
    <n v="24"/>
    <n v="35"/>
    <x v="0"/>
    <n v="0"/>
    <x v="0"/>
    <n v="0.4395"/>
  </r>
  <r>
    <x v="287"/>
    <s v="South Cynthia"/>
    <n v="32757"/>
    <n v="477"/>
    <n v="37366"/>
    <n v="10"/>
    <n v="25"/>
    <x v="0"/>
    <n v="0"/>
    <x v="2"/>
    <n v="0.4395"/>
  </r>
  <r>
    <x v="288"/>
    <s v="Port Michaeltown"/>
    <n v="107110"/>
    <n v="796"/>
    <n v="9947"/>
    <n v="12"/>
    <n v="95"/>
    <x v="1"/>
    <n v="1"/>
    <x v="3"/>
    <n v="0.4395"/>
  </r>
  <r>
    <x v="289"/>
    <s v="Ortizfort"/>
    <n v="102603"/>
    <n v="725"/>
    <n v="47539"/>
    <n v="28"/>
    <n v="70"/>
    <x v="1"/>
    <n v="1"/>
    <x v="1"/>
    <n v="0.4395"/>
  </r>
  <r>
    <x v="290"/>
    <s v="Antoniobury"/>
    <n v="60161"/>
    <n v="850"/>
    <n v="19918"/>
    <n v="10"/>
    <n v="80"/>
    <x v="1"/>
    <n v="1"/>
    <x v="3"/>
    <n v="0.4395"/>
  </r>
  <r>
    <x v="291"/>
    <s v="Dunnville"/>
    <n v="107128"/>
    <n v="416"/>
    <n v="18556"/>
    <n v="34"/>
    <n v="55"/>
    <x v="0"/>
    <n v="0"/>
    <x v="0"/>
    <n v="0.4395"/>
  </r>
  <r>
    <x v="292"/>
    <s v="Port Jenniferside"/>
    <n v="58864"/>
    <n v="523"/>
    <n v="28862"/>
    <n v="6"/>
    <n v="30"/>
    <x v="0"/>
    <n v="0"/>
    <x v="2"/>
    <n v="0.4395"/>
  </r>
  <r>
    <x v="293"/>
    <s v="South Joseland"/>
    <n v="30942"/>
    <n v="749"/>
    <n v="8693"/>
    <n v="15"/>
    <n v="65"/>
    <x v="1"/>
    <n v="1"/>
    <x v="1"/>
    <n v="0.4395"/>
  </r>
  <r>
    <x v="294"/>
    <s v="Martinberg"/>
    <n v="39305"/>
    <n v="511"/>
    <n v="14562"/>
    <n v="3"/>
    <n v="20"/>
    <x v="0"/>
    <n v="0"/>
    <x v="2"/>
    <n v="0.4395"/>
  </r>
  <r>
    <x v="295"/>
    <s v="West Tiffany"/>
    <n v="122778"/>
    <n v="599"/>
    <n v="19961"/>
    <n v="36"/>
    <n v="70"/>
    <x v="1"/>
    <n v="1"/>
    <x v="2"/>
    <n v="0.4395"/>
  </r>
  <r>
    <x v="296"/>
    <s v="East Sydneychester"/>
    <n v="112719"/>
    <n v="360"/>
    <n v="19174"/>
    <n v="8"/>
    <n v="50"/>
    <x v="0"/>
    <n v="0"/>
    <x v="0"/>
    <n v="0.4395"/>
  </r>
  <r>
    <x v="297"/>
    <s v="Mariafurt"/>
    <n v="37716"/>
    <n v="801"/>
    <n v="10317"/>
    <n v="36"/>
    <n v="70"/>
    <x v="1"/>
    <n v="1"/>
    <x v="3"/>
    <n v="0.4395"/>
  </r>
  <r>
    <x v="298"/>
    <s v="Lake Lauraland"/>
    <n v="60007"/>
    <n v="712"/>
    <n v="34791"/>
    <n v="17"/>
    <n v="60"/>
    <x v="1"/>
    <n v="1"/>
    <x v="1"/>
    <n v="0.4395"/>
  </r>
  <r>
    <x v="299"/>
    <s v="Murphytown"/>
    <n v="38834"/>
    <n v="395"/>
    <n v="48902"/>
    <n v="29"/>
    <n v="25"/>
    <x v="0"/>
    <n v="0"/>
    <x v="0"/>
    <n v="0.4395"/>
  </r>
  <r>
    <x v="300"/>
    <s v="Robinsonchester"/>
    <n v="148675"/>
    <n v="516"/>
    <n v="33421"/>
    <n v="17"/>
    <n v="55"/>
    <x v="0"/>
    <n v="0"/>
    <x v="2"/>
    <n v="0.4395"/>
  </r>
  <r>
    <x v="301"/>
    <s v="New Melissa"/>
    <n v="34117"/>
    <n v="651"/>
    <n v="45731"/>
    <n v="3"/>
    <n v="30"/>
    <x v="0"/>
    <n v="0"/>
    <x v="1"/>
    <n v="0.4395"/>
  </r>
  <r>
    <x v="302"/>
    <s v="North Sarahburgh"/>
    <n v="142674"/>
    <n v="751"/>
    <n v="30918"/>
    <n v="0"/>
    <n v="75"/>
    <x v="1"/>
    <n v="1"/>
    <x v="3"/>
    <n v="0.4395"/>
  </r>
  <r>
    <x v="303"/>
    <s v="Erikview"/>
    <n v="73309"/>
    <n v="395"/>
    <n v="43899"/>
    <n v="23"/>
    <n v="35"/>
    <x v="0"/>
    <n v="0"/>
    <x v="0"/>
    <n v="0.4395"/>
  </r>
  <r>
    <x v="304"/>
    <s v="North Randy"/>
    <n v="39287"/>
    <n v="612"/>
    <n v="48578"/>
    <n v="14"/>
    <n v="40"/>
    <x v="0"/>
    <n v="0"/>
    <x v="1"/>
    <n v="0.4395"/>
  </r>
  <r>
    <x v="305"/>
    <s v="South Christian"/>
    <n v="97391"/>
    <n v="531"/>
    <n v="35042"/>
    <n v="28"/>
    <n v="45"/>
    <x v="0"/>
    <n v="0"/>
    <x v="2"/>
    <n v="0.4395"/>
  </r>
  <r>
    <x v="306"/>
    <s v="Bensonfort"/>
    <n v="61195"/>
    <n v="372"/>
    <n v="16004"/>
    <n v="24"/>
    <n v="40"/>
    <x v="0"/>
    <n v="0"/>
    <x v="0"/>
    <n v="0.4395"/>
  </r>
  <r>
    <x v="307"/>
    <s v="Nicoleberg"/>
    <n v="66500"/>
    <n v="691"/>
    <n v="9725"/>
    <n v="9"/>
    <n v="65"/>
    <x v="1"/>
    <n v="1"/>
    <x v="1"/>
    <n v="0.4395"/>
  </r>
  <r>
    <x v="308"/>
    <s v="South Michael"/>
    <n v="117684"/>
    <n v="518"/>
    <n v="42161"/>
    <n v="9"/>
    <n v="45"/>
    <x v="0"/>
    <n v="0"/>
    <x v="2"/>
    <n v="0.4395"/>
  </r>
  <r>
    <x v="309"/>
    <s v="North Peggy"/>
    <n v="93624"/>
    <n v="443"/>
    <n v="9071"/>
    <n v="37"/>
    <n v="55"/>
    <x v="0"/>
    <n v="0"/>
    <x v="0"/>
    <n v="0.4395"/>
  </r>
  <r>
    <x v="310"/>
    <s v="East Joshua"/>
    <n v="58080"/>
    <n v="386"/>
    <n v="17263"/>
    <n v="35"/>
    <n v="40"/>
    <x v="0"/>
    <n v="0"/>
    <x v="0"/>
    <n v="0.4395"/>
  </r>
  <r>
    <x v="311"/>
    <s v="Port Melanieport"/>
    <n v="100678"/>
    <n v="510"/>
    <n v="34931"/>
    <n v="38"/>
    <n v="50"/>
    <x v="0"/>
    <n v="0"/>
    <x v="2"/>
    <n v="0.4395"/>
  </r>
  <r>
    <x v="312"/>
    <s v="Port Rachaelbury"/>
    <n v="47342"/>
    <n v="806"/>
    <n v="26289"/>
    <n v="7"/>
    <n v="60"/>
    <x v="1"/>
    <n v="1"/>
    <x v="3"/>
    <n v="0.4395"/>
  </r>
  <r>
    <x v="313"/>
    <s v="Davidshire"/>
    <n v="124811"/>
    <n v="730"/>
    <n v="24947"/>
    <n v="34"/>
    <n v="80"/>
    <x v="1"/>
    <n v="1"/>
    <x v="1"/>
    <n v="0.4395"/>
  </r>
  <r>
    <x v="314"/>
    <s v="North Brendatown"/>
    <n v="145655"/>
    <n v="568"/>
    <n v="15138"/>
    <n v="2"/>
    <n v="45"/>
    <x v="0"/>
    <n v="0"/>
    <x v="2"/>
    <n v="0.4395"/>
  </r>
  <r>
    <x v="315"/>
    <s v="Courtneyhaven"/>
    <n v="104847"/>
    <n v="725"/>
    <n v="28759"/>
    <n v="25"/>
    <n v="75"/>
    <x v="1"/>
    <n v="1"/>
    <x v="1"/>
    <n v="0.4395"/>
  </r>
  <r>
    <x v="316"/>
    <s v="Christopherland"/>
    <n v="105525"/>
    <n v="823"/>
    <n v="14316"/>
    <n v="9"/>
    <n v="90"/>
    <x v="1"/>
    <n v="1"/>
    <x v="3"/>
    <n v="0.4395"/>
  </r>
  <r>
    <x v="317"/>
    <s v="West Hollybury"/>
    <n v="91953"/>
    <n v="359"/>
    <n v="17022"/>
    <n v="5"/>
    <n v="45"/>
    <x v="0"/>
    <n v="0"/>
    <x v="0"/>
    <n v="0.4395"/>
  </r>
  <r>
    <x v="318"/>
    <s v="West Elizabethburgh"/>
    <n v="61850"/>
    <n v="422"/>
    <n v="1830"/>
    <n v="8"/>
    <n v="45"/>
    <x v="0"/>
    <n v="0"/>
    <x v="0"/>
    <n v="0.4395"/>
  </r>
  <r>
    <x v="319"/>
    <s v="Garyberg"/>
    <n v="132841"/>
    <n v="575"/>
    <n v="49033"/>
    <n v="7"/>
    <n v="45"/>
    <x v="0"/>
    <n v="0"/>
    <x v="2"/>
    <n v="0.4395"/>
  </r>
  <r>
    <x v="320"/>
    <s v="Alexandriaview"/>
    <n v="91993"/>
    <n v="378"/>
    <n v="33515"/>
    <n v="29"/>
    <n v="45"/>
    <x v="0"/>
    <n v="0"/>
    <x v="0"/>
    <n v="0.4395"/>
  </r>
  <r>
    <x v="321"/>
    <s v="West Eric"/>
    <n v="135840"/>
    <n v="405"/>
    <n v="38611"/>
    <n v="7"/>
    <n v="45"/>
    <x v="0"/>
    <n v="0"/>
    <x v="0"/>
    <n v="0.4395"/>
  </r>
  <r>
    <x v="322"/>
    <s v="East Brandonstad"/>
    <n v="83354"/>
    <n v="692"/>
    <n v="10835"/>
    <n v="11"/>
    <n v="75"/>
    <x v="1"/>
    <n v="1"/>
    <x v="1"/>
    <n v="0.4395"/>
  </r>
  <r>
    <x v="323"/>
    <s v="Walkerbury"/>
    <n v="54957"/>
    <n v="726"/>
    <n v="48204"/>
    <n v="20"/>
    <n v="60"/>
    <x v="1"/>
    <n v="1"/>
    <x v="1"/>
    <n v="0.4395"/>
  </r>
  <r>
    <x v="324"/>
    <s v="East Jeffreyhaven"/>
    <n v="42363"/>
    <n v="347"/>
    <n v="27275"/>
    <n v="4"/>
    <n v="15"/>
    <x v="0"/>
    <n v="0"/>
    <x v="0"/>
    <n v="0.4395"/>
  </r>
  <r>
    <x v="325"/>
    <s v="Markside"/>
    <n v="42704"/>
    <n v="767"/>
    <n v="1522"/>
    <n v="23"/>
    <n v="75"/>
    <x v="1"/>
    <n v="1"/>
    <x v="3"/>
    <n v="0.4395"/>
  </r>
  <r>
    <x v="326"/>
    <s v="South Micheal"/>
    <n v="116374"/>
    <n v="805"/>
    <n v="13807"/>
    <n v="34"/>
    <n v="95"/>
    <x v="1"/>
    <n v="1"/>
    <x v="3"/>
    <n v="0.4395"/>
  </r>
  <r>
    <x v="327"/>
    <s v="Johnsonside"/>
    <n v="86498"/>
    <n v="654"/>
    <n v="42677"/>
    <n v="0"/>
    <n v="40"/>
    <x v="0"/>
    <n v="0"/>
    <x v="1"/>
    <n v="0.4395"/>
  </r>
  <r>
    <x v="328"/>
    <s v="Daltonhaven"/>
    <n v="76438"/>
    <n v="543"/>
    <n v="28513"/>
    <n v="31"/>
    <n v="45"/>
    <x v="0"/>
    <n v="0"/>
    <x v="2"/>
    <n v="0.4395"/>
  </r>
  <r>
    <x v="329"/>
    <s v="Christopherbury"/>
    <n v="85519"/>
    <n v="832"/>
    <n v="28070"/>
    <n v="23"/>
    <n v="85"/>
    <x v="1"/>
    <n v="1"/>
    <x v="3"/>
    <n v="0.4395"/>
  </r>
  <r>
    <x v="330"/>
    <s v="Lake Lori"/>
    <n v="83883"/>
    <n v="376"/>
    <n v="39790"/>
    <n v="36"/>
    <n v="40"/>
    <x v="0"/>
    <n v="0"/>
    <x v="0"/>
    <n v="0.4395"/>
  </r>
  <r>
    <x v="331"/>
    <s v="Josemouth"/>
    <n v="91213"/>
    <n v="702"/>
    <n v="46922"/>
    <n v="20"/>
    <n v="65"/>
    <x v="1"/>
    <n v="1"/>
    <x v="1"/>
    <n v="0.4395"/>
  </r>
  <r>
    <x v="332"/>
    <s v="East Kimberly"/>
    <n v="143224"/>
    <n v="411"/>
    <n v="11184"/>
    <n v="6"/>
    <n v="55"/>
    <x v="0"/>
    <n v="0"/>
    <x v="0"/>
    <n v="0.4395"/>
  </r>
  <r>
    <x v="333"/>
    <s v="Tamiborough"/>
    <n v="125561"/>
    <n v="762"/>
    <n v="21205"/>
    <n v="29"/>
    <n v="90"/>
    <x v="1"/>
    <n v="1"/>
    <x v="3"/>
    <n v="0.4395"/>
  </r>
  <r>
    <x v="334"/>
    <s v="Margaretton"/>
    <n v="37100"/>
    <n v="520"/>
    <n v="22482"/>
    <n v="9"/>
    <n v="20"/>
    <x v="0"/>
    <n v="0"/>
    <x v="2"/>
    <n v="0.4395"/>
  </r>
  <r>
    <x v="335"/>
    <s v="Lake Kentburgh"/>
    <n v="118259"/>
    <n v="331"/>
    <n v="27502"/>
    <n v="28"/>
    <n v="55"/>
    <x v="0"/>
    <n v="0"/>
    <x v="0"/>
    <n v="0.4395"/>
  </r>
  <r>
    <x v="336"/>
    <s v="Port Lauraville"/>
    <n v="115649"/>
    <n v="312"/>
    <n v="5041"/>
    <n v="14"/>
    <n v="60"/>
    <x v="1"/>
    <n v="1"/>
    <x v="0"/>
    <n v="0.4395"/>
  </r>
  <r>
    <x v="337"/>
    <s v="New Brendaland"/>
    <n v="114696"/>
    <n v="322"/>
    <n v="5225"/>
    <n v="12"/>
    <n v="60"/>
    <x v="1"/>
    <n v="1"/>
    <x v="0"/>
    <n v="0.4395"/>
  </r>
  <r>
    <x v="338"/>
    <s v="Davidmouth"/>
    <n v="42899"/>
    <n v="351"/>
    <n v="12009"/>
    <n v="36"/>
    <n v="30"/>
    <x v="0"/>
    <n v="0"/>
    <x v="0"/>
    <n v="0.4395"/>
  </r>
  <r>
    <x v="339"/>
    <s v="Vegaburgh"/>
    <n v="37944"/>
    <n v="662"/>
    <n v="15071"/>
    <n v="11"/>
    <n v="45"/>
    <x v="0"/>
    <n v="0"/>
    <x v="1"/>
    <n v="0.4395"/>
  </r>
  <r>
    <x v="340"/>
    <s v="Lake Kenneth"/>
    <n v="82772"/>
    <n v="721"/>
    <n v="37089"/>
    <n v="30"/>
    <n v="65"/>
    <x v="1"/>
    <n v="1"/>
    <x v="1"/>
    <n v="0.4395"/>
  </r>
  <r>
    <x v="341"/>
    <s v="Lake Nicole"/>
    <n v="125448"/>
    <n v="838"/>
    <n v="17328"/>
    <n v="40"/>
    <n v="95"/>
    <x v="1"/>
    <n v="1"/>
    <x v="3"/>
    <n v="0.4395"/>
  </r>
  <r>
    <x v="342"/>
    <s v="Timothyfort"/>
    <n v="74473"/>
    <n v="652"/>
    <n v="38070"/>
    <n v="32"/>
    <n v="50"/>
    <x v="0"/>
    <n v="0"/>
    <x v="1"/>
    <n v="0.4395"/>
  </r>
  <r>
    <x v="343"/>
    <s v="North Paula"/>
    <n v="134935"/>
    <n v="587"/>
    <n v="4839"/>
    <n v="30"/>
    <n v="75"/>
    <x v="1"/>
    <n v="1"/>
    <x v="2"/>
    <n v="0.4395"/>
  </r>
  <r>
    <x v="344"/>
    <s v="North John"/>
    <n v="142941"/>
    <n v="546"/>
    <n v="18467"/>
    <n v="34"/>
    <n v="55"/>
    <x v="0"/>
    <n v="0"/>
    <x v="2"/>
    <n v="0.4395"/>
  </r>
  <r>
    <x v="345"/>
    <s v="New Meghan"/>
    <n v="44322"/>
    <n v="697"/>
    <n v="24252"/>
    <n v="11"/>
    <n v="50"/>
    <x v="0"/>
    <n v="0"/>
    <x v="1"/>
    <n v="0.4395"/>
  </r>
  <r>
    <x v="346"/>
    <s v="Robintown"/>
    <n v="62591"/>
    <n v="660"/>
    <n v="38201"/>
    <n v="36"/>
    <n v="50"/>
    <x v="0"/>
    <n v="0"/>
    <x v="1"/>
    <n v="0.4395"/>
  </r>
  <r>
    <x v="347"/>
    <s v="Weaverburgh"/>
    <n v="55112"/>
    <n v="802"/>
    <n v="3487"/>
    <n v="5"/>
    <n v="85"/>
    <x v="1"/>
    <n v="1"/>
    <x v="3"/>
    <n v="0.4395"/>
  </r>
  <r>
    <x v="348"/>
    <s v="Smithborough"/>
    <n v="54931"/>
    <n v="433"/>
    <n v="23331"/>
    <n v="11"/>
    <n v="35"/>
    <x v="0"/>
    <n v="0"/>
    <x v="0"/>
    <n v="0.4395"/>
  </r>
  <r>
    <x v="349"/>
    <s v="East Brendaberg"/>
    <n v="100292"/>
    <n v="413"/>
    <n v="35491"/>
    <n v="23"/>
    <n v="50"/>
    <x v="0"/>
    <n v="0"/>
    <x v="0"/>
    <n v="0.4395"/>
  </r>
  <r>
    <x v="350"/>
    <s v="Willismouth"/>
    <n v="88800"/>
    <n v="609"/>
    <n v="22142"/>
    <n v="8"/>
    <n v="60"/>
    <x v="1"/>
    <n v="1"/>
    <x v="1"/>
    <n v="0.4395"/>
  </r>
  <r>
    <x v="351"/>
    <s v="Banksburgh"/>
    <n v="48373"/>
    <n v="665"/>
    <n v="15630"/>
    <n v="37"/>
    <n v="45"/>
    <x v="0"/>
    <n v="0"/>
    <x v="1"/>
    <n v="0.4395"/>
  </r>
  <r>
    <x v="352"/>
    <s v="Davidtown"/>
    <n v="85296"/>
    <n v="700"/>
    <n v="38190"/>
    <n v="2"/>
    <n v="55"/>
    <x v="0"/>
    <n v="0"/>
    <x v="1"/>
    <n v="0.4395"/>
  </r>
  <r>
    <x v="353"/>
    <s v="Lake Ariana"/>
    <n v="54050"/>
    <n v="808"/>
    <n v="10217"/>
    <n v="21"/>
    <n v="85"/>
    <x v="1"/>
    <n v="1"/>
    <x v="3"/>
    <n v="0.4395"/>
  </r>
  <r>
    <x v="354"/>
    <s v="Lake Nicole"/>
    <n v="66509"/>
    <n v="390"/>
    <n v="47462"/>
    <n v="40"/>
    <n v="35"/>
    <x v="0"/>
    <n v="0"/>
    <x v="0"/>
    <n v="0.4395"/>
  </r>
  <r>
    <x v="355"/>
    <s v="East Heather"/>
    <n v="90637"/>
    <n v="658"/>
    <n v="17820"/>
    <n v="6"/>
    <n v="60"/>
    <x v="1"/>
    <n v="1"/>
    <x v="1"/>
    <n v="0.4395"/>
  </r>
  <r>
    <x v="356"/>
    <s v="Costachester"/>
    <n v="62742"/>
    <n v="804"/>
    <n v="25819"/>
    <n v="22"/>
    <n v="75"/>
    <x v="1"/>
    <n v="1"/>
    <x v="3"/>
    <n v="0.4395"/>
  </r>
  <r>
    <x v="357"/>
    <s v="East Shannon"/>
    <n v="144620"/>
    <n v="334"/>
    <n v="20327"/>
    <n v="1"/>
    <n v="40"/>
    <x v="0"/>
    <n v="0"/>
    <x v="0"/>
    <n v="0.4395"/>
  </r>
  <r>
    <x v="358"/>
    <s v="South Eugene"/>
    <n v="39880"/>
    <n v="376"/>
    <n v="36851"/>
    <n v="5"/>
    <n v="20"/>
    <x v="0"/>
    <n v="0"/>
    <x v="0"/>
    <n v="0.4395"/>
  </r>
  <r>
    <x v="359"/>
    <s v="South Sherriburgh"/>
    <n v="88082"/>
    <n v="744"/>
    <n v="11295"/>
    <n v="3"/>
    <n v="75"/>
    <x v="1"/>
    <n v="1"/>
    <x v="1"/>
    <n v="0.4395"/>
  </r>
  <r>
    <x v="360"/>
    <s v="Donnaport"/>
    <n v="135909"/>
    <n v="543"/>
    <n v="7285"/>
    <n v="3"/>
    <n v="50"/>
    <x v="0"/>
    <n v="0"/>
    <x v="2"/>
    <n v="0.4395"/>
  </r>
  <r>
    <x v="361"/>
    <s v="West Adamland"/>
    <n v="142898"/>
    <n v="601"/>
    <n v="44386"/>
    <n v="40"/>
    <n v="65"/>
    <x v="1"/>
    <n v="1"/>
    <x v="1"/>
    <n v="0.4395"/>
  </r>
  <r>
    <x v="362"/>
    <s v="Lake Kelly"/>
    <n v="142193"/>
    <n v="383"/>
    <n v="32035"/>
    <n v="7"/>
    <n v="50"/>
    <x v="0"/>
    <n v="0"/>
    <x v="0"/>
    <n v="0.4395"/>
  </r>
  <r>
    <x v="363"/>
    <s v="Christopherside"/>
    <n v="102132"/>
    <n v="696"/>
    <n v="13116"/>
    <n v="23"/>
    <n v="80"/>
    <x v="1"/>
    <n v="1"/>
    <x v="1"/>
    <n v="0.4395"/>
  </r>
  <r>
    <x v="364"/>
    <s v="Scottview"/>
    <n v="42833"/>
    <n v="531"/>
    <n v="18600"/>
    <n v="36"/>
    <n v="25"/>
    <x v="0"/>
    <n v="0"/>
    <x v="2"/>
    <n v="0.4395"/>
  </r>
  <r>
    <x v="365"/>
    <s v="Lake Mauriceside"/>
    <n v="36630"/>
    <n v="723"/>
    <n v="39648"/>
    <n v="14"/>
    <n v="50"/>
    <x v="0"/>
    <n v="0"/>
    <x v="1"/>
    <n v="0.4395"/>
  </r>
  <r>
    <x v="366"/>
    <s v="Sheppardfort"/>
    <n v="115477"/>
    <n v="541"/>
    <n v="32212"/>
    <n v="19"/>
    <n v="50"/>
    <x v="0"/>
    <n v="0"/>
    <x v="2"/>
    <n v="0.4395"/>
  </r>
  <r>
    <x v="367"/>
    <s v="North Stacy"/>
    <n v="100855"/>
    <n v="759"/>
    <n v="12329"/>
    <n v="10"/>
    <n v="90"/>
    <x v="1"/>
    <n v="1"/>
    <x v="3"/>
    <n v="0.4395"/>
  </r>
  <r>
    <x v="368"/>
    <s v="Millerchester"/>
    <n v="139579"/>
    <n v="506"/>
    <n v="42105"/>
    <n v="9"/>
    <n v="45"/>
    <x v="0"/>
    <n v="0"/>
    <x v="2"/>
    <n v="0.4395"/>
  </r>
  <r>
    <x v="369"/>
    <s v="North Paulfurt"/>
    <n v="31934"/>
    <n v="633"/>
    <n v="19101"/>
    <n v="33"/>
    <n v="40"/>
    <x v="0"/>
    <n v="0"/>
    <x v="1"/>
    <n v="0.4395"/>
  </r>
  <r>
    <x v="370"/>
    <s v="Rodriguezberg"/>
    <n v="42224"/>
    <n v="451"/>
    <n v="38132"/>
    <n v="37"/>
    <n v="25"/>
    <x v="0"/>
    <n v="0"/>
    <x v="2"/>
    <n v="0.4395"/>
  </r>
  <r>
    <x v="371"/>
    <s v="New Kimberlyport"/>
    <n v="128771"/>
    <n v="848"/>
    <n v="23535"/>
    <n v="26"/>
    <n v="95"/>
    <x v="1"/>
    <n v="1"/>
    <x v="3"/>
    <n v="0.4395"/>
  </r>
  <r>
    <x v="372"/>
    <s v="Johnsonview"/>
    <n v="141240"/>
    <n v="712"/>
    <n v="10427"/>
    <n v="39"/>
    <n v="85"/>
    <x v="1"/>
    <n v="1"/>
    <x v="1"/>
    <n v="0.4395"/>
  </r>
  <r>
    <x v="373"/>
    <s v="Hannahton"/>
    <n v="60982"/>
    <n v="786"/>
    <n v="18601"/>
    <n v="23"/>
    <n v="75"/>
    <x v="1"/>
    <n v="1"/>
    <x v="3"/>
    <n v="0.4395"/>
  </r>
  <r>
    <x v="374"/>
    <s v="Meganville"/>
    <n v="51798"/>
    <n v="533"/>
    <n v="9807"/>
    <n v="19"/>
    <n v="45"/>
    <x v="0"/>
    <n v="0"/>
    <x v="2"/>
    <n v="0.4395"/>
  </r>
  <r>
    <x v="375"/>
    <s v="Jessicaland"/>
    <n v="83269"/>
    <n v="492"/>
    <n v="29948"/>
    <n v="13"/>
    <n v="45"/>
    <x v="0"/>
    <n v="0"/>
    <x v="2"/>
    <n v="0.4395"/>
  </r>
  <r>
    <x v="376"/>
    <s v="Lorihaven"/>
    <n v="93653"/>
    <n v="462"/>
    <n v="5300"/>
    <n v="19"/>
    <n v="55"/>
    <x v="0"/>
    <n v="0"/>
    <x v="2"/>
    <n v="0.4395"/>
  </r>
  <r>
    <x v="377"/>
    <s v="East Jamesborough"/>
    <n v="93092"/>
    <n v="359"/>
    <n v="17350"/>
    <n v="2"/>
    <n v="40"/>
    <x v="0"/>
    <n v="0"/>
    <x v="0"/>
    <n v="0.4395"/>
  </r>
  <r>
    <x v="378"/>
    <s v="Michealmouth"/>
    <n v="58016"/>
    <n v="817"/>
    <n v="27014"/>
    <n v="40"/>
    <n v="75"/>
    <x v="1"/>
    <n v="1"/>
    <x v="3"/>
    <n v="0.4395"/>
  </r>
  <r>
    <x v="379"/>
    <s v="Wheelerburgh"/>
    <n v="143331"/>
    <n v="785"/>
    <n v="39461"/>
    <n v="35"/>
    <n v="85"/>
    <x v="1"/>
    <n v="1"/>
    <x v="3"/>
    <n v="0.4395"/>
  </r>
  <r>
    <x v="380"/>
    <s v="West Anthonyton"/>
    <n v="82565"/>
    <n v="466"/>
    <n v="38503"/>
    <n v="13"/>
    <n v="40"/>
    <x v="0"/>
    <n v="0"/>
    <x v="2"/>
    <n v="0.4395"/>
  </r>
  <r>
    <x v="381"/>
    <s v="Denisehaven"/>
    <n v="148284"/>
    <n v="320"/>
    <n v="45708"/>
    <n v="0"/>
    <n v="35"/>
    <x v="0"/>
    <n v="0"/>
    <x v="0"/>
    <n v="0.4395"/>
  </r>
  <r>
    <x v="382"/>
    <s v="East Johnnyport"/>
    <n v="37685"/>
    <n v="581"/>
    <n v="28774"/>
    <n v="24"/>
    <n v="40"/>
    <x v="0"/>
    <n v="0"/>
    <x v="2"/>
    <n v="0.4395"/>
  </r>
  <r>
    <x v="383"/>
    <s v="Ericafurt"/>
    <n v="51579"/>
    <n v="404"/>
    <n v="1481"/>
    <n v="32"/>
    <n v="50"/>
    <x v="0"/>
    <n v="0"/>
    <x v="0"/>
    <n v="0.4395"/>
  </r>
  <r>
    <x v="384"/>
    <s v="Kennethville"/>
    <n v="79672"/>
    <n v="793"/>
    <n v="5183"/>
    <n v="21"/>
    <n v="90"/>
    <x v="1"/>
    <n v="1"/>
    <x v="3"/>
    <n v="0.4395"/>
  </r>
  <r>
    <x v="385"/>
    <s v="Jacobhaven"/>
    <n v="30282"/>
    <n v="546"/>
    <n v="4720"/>
    <n v="38"/>
    <n v="35"/>
    <x v="0"/>
    <n v="0"/>
    <x v="2"/>
    <n v="0.4395"/>
  </r>
  <r>
    <x v="386"/>
    <s v="Lake Tylerport"/>
    <n v="81173"/>
    <n v="565"/>
    <n v="28431"/>
    <n v="25"/>
    <n v="45"/>
    <x v="0"/>
    <n v="0"/>
    <x v="2"/>
    <n v="0.4395"/>
  </r>
  <r>
    <x v="387"/>
    <s v="West Jessica"/>
    <n v="64760"/>
    <n v="527"/>
    <n v="45978"/>
    <n v="34"/>
    <n v="35"/>
    <x v="0"/>
    <n v="0"/>
    <x v="2"/>
    <n v="0.4395"/>
  </r>
  <r>
    <x v="388"/>
    <s v="Williamburgh"/>
    <n v="132769"/>
    <n v="485"/>
    <n v="20253"/>
    <n v="6"/>
    <n v="50"/>
    <x v="0"/>
    <n v="0"/>
    <x v="2"/>
    <n v="0.4395"/>
  </r>
  <r>
    <x v="389"/>
    <s v="Lake Rachel"/>
    <n v="132908"/>
    <n v="391"/>
    <n v="15565"/>
    <n v="22"/>
    <n v="55"/>
    <x v="0"/>
    <n v="0"/>
    <x v="0"/>
    <n v="0.4395"/>
  </r>
  <r>
    <x v="390"/>
    <s v="Nathanshire"/>
    <n v="89638"/>
    <n v="601"/>
    <n v="31393"/>
    <n v="7"/>
    <n v="55"/>
    <x v="0"/>
    <n v="0"/>
    <x v="1"/>
    <n v="0.4395"/>
  </r>
  <r>
    <x v="391"/>
    <s v="South Pamelahaven"/>
    <n v="67388"/>
    <n v="422"/>
    <n v="45610"/>
    <n v="24"/>
    <n v="35"/>
    <x v="0"/>
    <n v="0"/>
    <x v="0"/>
    <n v="0.4395"/>
  </r>
  <r>
    <x v="392"/>
    <s v="East Victoria"/>
    <n v="85444"/>
    <n v="650"/>
    <n v="27816"/>
    <n v="36"/>
    <n v="60"/>
    <x v="1"/>
    <n v="1"/>
    <x v="1"/>
    <n v="0.4395"/>
  </r>
  <r>
    <x v="393"/>
    <s v="Port Christopher"/>
    <n v="121303"/>
    <n v="640"/>
    <n v="42355"/>
    <n v="11"/>
    <n v="65"/>
    <x v="1"/>
    <n v="1"/>
    <x v="1"/>
    <n v="0.4395"/>
  </r>
  <r>
    <x v="394"/>
    <s v="Port Kim"/>
    <n v="125748"/>
    <n v="462"/>
    <n v="33084"/>
    <n v="5"/>
    <n v="45"/>
    <x v="0"/>
    <n v="0"/>
    <x v="2"/>
    <n v="0.4395"/>
  </r>
  <r>
    <x v="395"/>
    <s v="Sanfordfurt"/>
    <n v="132676"/>
    <n v="304"/>
    <n v="3472"/>
    <n v="34"/>
    <n v="60"/>
    <x v="1"/>
    <n v="1"/>
    <x v="0"/>
    <n v="0.4395"/>
  </r>
  <r>
    <x v="396"/>
    <s v="Katherinehaven"/>
    <n v="102845"/>
    <n v="495"/>
    <n v="2174"/>
    <n v="0"/>
    <n v="45"/>
    <x v="0"/>
    <n v="0"/>
    <x v="2"/>
    <n v="0.4395"/>
  </r>
  <r>
    <x v="397"/>
    <s v="Larryville"/>
    <n v="116752"/>
    <n v="692"/>
    <n v="33986"/>
    <n v="37"/>
    <n v="75"/>
    <x v="1"/>
    <n v="1"/>
    <x v="1"/>
    <n v="0.4395"/>
  </r>
  <r>
    <x v="398"/>
    <s v="Stephenhaven"/>
    <n v="124163"/>
    <n v="836"/>
    <n v="23140"/>
    <n v="27"/>
    <n v="95"/>
    <x v="1"/>
    <n v="1"/>
    <x v="3"/>
    <n v="0.4395"/>
  </r>
  <r>
    <x v="399"/>
    <s v="Howardborough"/>
    <n v="93788"/>
    <n v="468"/>
    <n v="27436"/>
    <n v="1"/>
    <n v="30"/>
    <x v="0"/>
    <n v="0"/>
    <x v="2"/>
    <n v="0.4395"/>
  </r>
  <r>
    <x v="400"/>
    <s v="New Williamville"/>
    <n v="50289"/>
    <n v="675"/>
    <n v="47603"/>
    <n v="2"/>
    <n v="50"/>
    <x v="0"/>
    <n v="0"/>
    <x v="1"/>
    <n v="0.4395"/>
  </r>
  <r>
    <x v="401"/>
    <s v="New Virginiaville"/>
    <n v="54890"/>
    <n v="320"/>
    <n v="4161"/>
    <n v="7"/>
    <n v="45"/>
    <x v="0"/>
    <n v="0"/>
    <x v="0"/>
    <n v="0.4395"/>
  </r>
  <r>
    <x v="402"/>
    <s v="Milesborough"/>
    <n v="68890"/>
    <n v="309"/>
    <n v="20733"/>
    <n v="26"/>
    <n v="40"/>
    <x v="0"/>
    <n v="0"/>
    <x v="0"/>
    <n v="0.4395"/>
  </r>
  <r>
    <x v="403"/>
    <s v="South Maria"/>
    <n v="58534"/>
    <n v="407"/>
    <n v="34527"/>
    <n v="39"/>
    <n v="35"/>
    <x v="0"/>
    <n v="0"/>
    <x v="0"/>
    <n v="0.4395"/>
  </r>
  <r>
    <x v="404"/>
    <s v="New James"/>
    <n v="37665"/>
    <n v="569"/>
    <n v="35284"/>
    <n v="12"/>
    <n v="25"/>
    <x v="0"/>
    <n v="0"/>
    <x v="2"/>
    <n v="0.4395"/>
  </r>
  <r>
    <x v="405"/>
    <s v="Lozanofort"/>
    <n v="105914"/>
    <n v="638"/>
    <n v="16368"/>
    <n v="0"/>
    <n v="55"/>
    <x v="0"/>
    <n v="0"/>
    <x v="1"/>
    <n v="0.4395"/>
  </r>
  <r>
    <x v="406"/>
    <s v="Hernandezland"/>
    <n v="126434"/>
    <n v="823"/>
    <n v="5918"/>
    <n v="6"/>
    <n v="95"/>
    <x v="1"/>
    <n v="1"/>
    <x v="3"/>
    <n v="0.4395"/>
  </r>
  <r>
    <x v="407"/>
    <s v="Josephton"/>
    <n v="101066"/>
    <n v="402"/>
    <n v="12449"/>
    <n v="2"/>
    <n v="45"/>
    <x v="0"/>
    <n v="0"/>
    <x v="0"/>
    <n v="0.4395"/>
  </r>
  <r>
    <x v="408"/>
    <s v="Rodgersville"/>
    <n v="37989"/>
    <n v="346"/>
    <n v="1633"/>
    <n v="8"/>
    <n v="35"/>
    <x v="0"/>
    <n v="0"/>
    <x v="0"/>
    <n v="0.4395"/>
  </r>
  <r>
    <x v="409"/>
    <s v="Friedmanview"/>
    <n v="128038"/>
    <n v="395"/>
    <n v="25420"/>
    <n v="21"/>
    <n v="55"/>
    <x v="0"/>
    <n v="0"/>
    <x v="0"/>
    <n v="0.4395"/>
  </r>
  <r>
    <x v="410"/>
    <s v="Maryfort"/>
    <n v="71104"/>
    <n v="731"/>
    <n v="43522"/>
    <n v="10"/>
    <n v="60"/>
    <x v="1"/>
    <n v="1"/>
    <x v="1"/>
    <n v="0.4395"/>
  </r>
  <r>
    <x v="411"/>
    <s v="North Robert"/>
    <n v="37492"/>
    <n v="794"/>
    <n v="38286"/>
    <n v="28"/>
    <n v="60"/>
    <x v="1"/>
    <n v="1"/>
    <x v="3"/>
    <n v="0.4395"/>
  </r>
  <r>
    <x v="412"/>
    <s v="Port Gabrielleberg"/>
    <n v="36572"/>
    <n v="794"/>
    <n v="32989"/>
    <n v="7"/>
    <n v="55"/>
    <x v="0"/>
    <n v="0"/>
    <x v="3"/>
    <n v="0.4395"/>
  </r>
  <r>
    <x v="413"/>
    <s v="Alexanderhaven"/>
    <n v="106569"/>
    <n v="529"/>
    <n v="44898"/>
    <n v="21"/>
    <n v="45"/>
    <x v="0"/>
    <n v="0"/>
    <x v="2"/>
    <n v="0.4395"/>
  </r>
  <r>
    <x v="414"/>
    <s v="Stanleybury"/>
    <n v="92493"/>
    <n v="793"/>
    <n v="23659"/>
    <n v="24"/>
    <n v="80"/>
    <x v="1"/>
    <n v="1"/>
    <x v="3"/>
    <n v="0.4395"/>
  </r>
  <r>
    <x v="415"/>
    <s v="North Dawnburgh"/>
    <n v="95909"/>
    <n v="817"/>
    <n v="31755"/>
    <n v="31"/>
    <n v="85"/>
    <x v="1"/>
    <n v="1"/>
    <x v="3"/>
    <n v="0.4395"/>
  </r>
  <r>
    <x v="416"/>
    <s v="West Tara"/>
    <n v="141767"/>
    <n v="351"/>
    <n v="34222"/>
    <n v="14"/>
    <n v="55"/>
    <x v="0"/>
    <n v="0"/>
    <x v="0"/>
    <n v="0.4395"/>
  </r>
  <r>
    <x v="417"/>
    <s v="South Seanshire"/>
    <n v="99615"/>
    <n v="758"/>
    <n v="6768"/>
    <n v="31"/>
    <n v="90"/>
    <x v="1"/>
    <n v="1"/>
    <x v="3"/>
    <n v="0.4395"/>
  </r>
  <r>
    <x v="418"/>
    <s v="North Richardton"/>
    <n v="50635"/>
    <n v="300"/>
    <n v="6956"/>
    <n v="38"/>
    <n v="45"/>
    <x v="0"/>
    <n v="0"/>
    <x v="0"/>
    <n v="0.4395"/>
  </r>
  <r>
    <x v="419"/>
    <s v="Lake Emily"/>
    <n v="37455"/>
    <n v="649"/>
    <n v="24812"/>
    <n v="3"/>
    <n v="30"/>
    <x v="0"/>
    <n v="0"/>
    <x v="1"/>
    <n v="0.4395"/>
  </r>
  <r>
    <x v="420"/>
    <s v="Moranstad"/>
    <n v="96562"/>
    <n v="763"/>
    <n v="8472"/>
    <n v="6"/>
    <n v="85"/>
    <x v="1"/>
    <n v="1"/>
    <x v="3"/>
    <n v="0.4395"/>
  </r>
  <r>
    <x v="421"/>
    <s v="Amystad"/>
    <n v="40500"/>
    <n v="408"/>
    <n v="4000"/>
    <n v="10"/>
    <n v="40"/>
    <x v="0"/>
    <n v="0"/>
    <x v="0"/>
    <n v="0.4395"/>
  </r>
  <r>
    <x v="422"/>
    <s v="Cherylborough"/>
    <n v="141587"/>
    <n v="423"/>
    <n v="26748"/>
    <n v="13"/>
    <n v="55"/>
    <x v="0"/>
    <n v="0"/>
    <x v="0"/>
    <n v="0.4395"/>
  </r>
  <r>
    <x v="423"/>
    <s v="Port Robertshire"/>
    <n v="54356"/>
    <n v="426"/>
    <n v="30524"/>
    <n v="29"/>
    <n v="35"/>
    <x v="0"/>
    <n v="0"/>
    <x v="0"/>
    <n v="0.4395"/>
  </r>
  <r>
    <x v="424"/>
    <s v="Smithton"/>
    <n v="38981"/>
    <n v="743"/>
    <n v="39346"/>
    <n v="30"/>
    <n v="60"/>
    <x v="1"/>
    <n v="1"/>
    <x v="1"/>
    <n v="0.4395"/>
  </r>
  <r>
    <x v="425"/>
    <s v="Lake Lisa"/>
    <n v="107992"/>
    <n v="406"/>
    <n v="26389"/>
    <n v="38"/>
    <n v="55"/>
    <x v="0"/>
    <n v="0"/>
    <x v="0"/>
    <n v="0.4395"/>
  </r>
  <r>
    <x v="426"/>
    <s v="Pettybury"/>
    <n v="38907"/>
    <n v="580"/>
    <n v="27074"/>
    <n v="21"/>
    <n v="40"/>
    <x v="0"/>
    <n v="0"/>
    <x v="2"/>
    <n v="0.4395"/>
  </r>
  <r>
    <x v="427"/>
    <s v="Morrisonhaven"/>
    <n v="118501"/>
    <n v="606"/>
    <n v="46973"/>
    <n v="35"/>
    <n v="65"/>
    <x v="1"/>
    <n v="1"/>
    <x v="1"/>
    <n v="0.4395"/>
  </r>
  <r>
    <x v="428"/>
    <s v="East Jason"/>
    <n v="142960"/>
    <n v="597"/>
    <n v="45997"/>
    <n v="22"/>
    <n v="65"/>
    <x v="1"/>
    <n v="1"/>
    <x v="2"/>
    <n v="0.4395"/>
  </r>
  <r>
    <x v="429"/>
    <s v="New Amy"/>
    <n v="60828"/>
    <n v="630"/>
    <n v="47553"/>
    <n v="7"/>
    <n v="45"/>
    <x v="0"/>
    <n v="0"/>
    <x v="1"/>
    <n v="0.4395"/>
  </r>
  <r>
    <x v="430"/>
    <s v="Craigside"/>
    <n v="82923"/>
    <n v="592"/>
    <n v="28681"/>
    <n v="0"/>
    <n v="45"/>
    <x v="0"/>
    <n v="0"/>
    <x v="2"/>
    <n v="0.4395"/>
  </r>
  <r>
    <x v="431"/>
    <s v="East Josephburgh"/>
    <n v="45713"/>
    <n v="593"/>
    <n v="45786"/>
    <n v="16"/>
    <n v="40"/>
    <x v="0"/>
    <n v="0"/>
    <x v="2"/>
    <n v="0.4395"/>
  </r>
  <r>
    <x v="432"/>
    <s v="Port Amber"/>
    <n v="146691"/>
    <n v="667"/>
    <n v="30661"/>
    <n v="6"/>
    <n v="65"/>
    <x v="1"/>
    <n v="1"/>
    <x v="1"/>
    <n v="0.4395"/>
  </r>
  <r>
    <x v="433"/>
    <s v="Lake Deborah"/>
    <n v="104668"/>
    <n v="698"/>
    <n v="16571"/>
    <n v="32"/>
    <n v="80"/>
    <x v="1"/>
    <n v="1"/>
    <x v="1"/>
    <n v="0.4395"/>
  </r>
  <r>
    <x v="434"/>
    <s v="South Paulmouth"/>
    <n v="62271"/>
    <n v="355"/>
    <n v="1849"/>
    <n v="16"/>
    <n v="50"/>
    <x v="0"/>
    <n v="0"/>
    <x v="0"/>
    <n v="0.4395"/>
  </r>
  <r>
    <x v="435"/>
    <s v="Greerstad"/>
    <n v="105880"/>
    <n v="501"/>
    <n v="48507"/>
    <n v="12"/>
    <n v="45"/>
    <x v="0"/>
    <n v="0"/>
    <x v="2"/>
    <n v="0.4395"/>
  </r>
  <r>
    <x v="436"/>
    <s v="East Jill"/>
    <n v="107924"/>
    <n v="422"/>
    <n v="25720"/>
    <n v="2"/>
    <n v="45"/>
    <x v="0"/>
    <n v="0"/>
    <x v="0"/>
    <n v="0.4395"/>
  </r>
  <r>
    <x v="437"/>
    <s v="Adammouth"/>
    <n v="35209"/>
    <n v="458"/>
    <n v="3617"/>
    <n v="9"/>
    <n v="30"/>
    <x v="0"/>
    <n v="0"/>
    <x v="2"/>
    <n v="0.4395"/>
  </r>
  <r>
    <x v="438"/>
    <s v="Tracyshire"/>
    <n v="111183"/>
    <n v="666"/>
    <n v="5776"/>
    <n v="20"/>
    <n v="75"/>
    <x v="1"/>
    <n v="1"/>
    <x v="1"/>
    <n v="0.4395"/>
  </r>
  <r>
    <x v="439"/>
    <s v="South Amy"/>
    <n v="40745"/>
    <n v="713"/>
    <n v="7025"/>
    <n v="22"/>
    <n v="60"/>
    <x v="1"/>
    <n v="1"/>
    <x v="1"/>
    <n v="0.4395"/>
  </r>
  <r>
    <x v="440"/>
    <s v="Kellyhaven"/>
    <n v="84948"/>
    <n v="786"/>
    <n v="37787"/>
    <n v="0"/>
    <n v="60"/>
    <x v="1"/>
    <n v="1"/>
    <x v="3"/>
    <n v="0.4395"/>
  </r>
  <r>
    <x v="441"/>
    <s v="North Felicia"/>
    <n v="116163"/>
    <n v="628"/>
    <n v="25993"/>
    <n v="7"/>
    <n v="65"/>
    <x v="1"/>
    <n v="1"/>
    <x v="1"/>
    <n v="0.4395"/>
  </r>
  <r>
    <x v="442"/>
    <s v="Williehaven"/>
    <n v="106503"/>
    <n v="756"/>
    <n v="32903"/>
    <n v="2"/>
    <n v="75"/>
    <x v="1"/>
    <n v="1"/>
    <x v="3"/>
    <n v="0.4395"/>
  </r>
  <r>
    <x v="443"/>
    <s v="North Garyside"/>
    <n v="104085"/>
    <n v="846"/>
    <n v="1480"/>
    <n v="40"/>
    <n v="100"/>
    <x v="1"/>
    <n v="1"/>
    <x v="3"/>
    <n v="0.4395"/>
  </r>
  <r>
    <x v="444"/>
    <s v="Houstonborough"/>
    <n v="98522"/>
    <n v="850"/>
    <n v="47054"/>
    <n v="27"/>
    <n v="80"/>
    <x v="1"/>
    <n v="1"/>
    <x v="3"/>
    <n v="0.4395"/>
  </r>
  <r>
    <x v="445"/>
    <s v="North Stephen"/>
    <n v="71467"/>
    <n v="639"/>
    <n v="3482"/>
    <n v="5"/>
    <n v="60"/>
    <x v="1"/>
    <n v="1"/>
    <x v="1"/>
    <n v="0.4395"/>
  </r>
  <r>
    <x v="446"/>
    <s v="New Lorraineview"/>
    <n v="64179"/>
    <n v="717"/>
    <n v="26430"/>
    <n v="28"/>
    <n v="60"/>
    <x v="1"/>
    <n v="1"/>
    <x v="1"/>
    <n v="0.4395"/>
  </r>
  <r>
    <x v="447"/>
    <s v="New Adamland"/>
    <n v="56772"/>
    <n v="346"/>
    <n v="46933"/>
    <n v="4"/>
    <n v="25"/>
    <x v="0"/>
    <n v="0"/>
    <x v="0"/>
    <n v="0.4395"/>
  </r>
  <r>
    <x v="448"/>
    <s v="Catherineport"/>
    <n v="117782"/>
    <n v="748"/>
    <n v="25996"/>
    <n v="25"/>
    <n v="90"/>
    <x v="1"/>
    <n v="1"/>
    <x v="1"/>
    <n v="0.4395"/>
  </r>
  <r>
    <x v="449"/>
    <s v="East Julie"/>
    <n v="123872"/>
    <n v="602"/>
    <n v="42552"/>
    <n v="9"/>
    <n v="60"/>
    <x v="1"/>
    <n v="1"/>
    <x v="1"/>
    <n v="0.4395"/>
  </r>
  <r>
    <x v="450"/>
    <s v="Susantown"/>
    <n v="71180"/>
    <n v="444"/>
    <n v="9076"/>
    <n v="2"/>
    <n v="35"/>
    <x v="0"/>
    <n v="0"/>
    <x v="0"/>
    <n v="0.4395"/>
  </r>
  <r>
    <x v="451"/>
    <s v="West Jasonstad"/>
    <n v="61285"/>
    <n v="516"/>
    <n v="28043"/>
    <n v="32"/>
    <n v="35"/>
    <x v="0"/>
    <n v="0"/>
    <x v="2"/>
    <n v="0.4395"/>
  </r>
  <r>
    <x v="452"/>
    <s v="Jamesburgh"/>
    <n v="64814"/>
    <n v="355"/>
    <n v="36969"/>
    <n v="29"/>
    <n v="35"/>
    <x v="0"/>
    <n v="0"/>
    <x v="0"/>
    <n v="0.4395"/>
  </r>
  <r>
    <x v="453"/>
    <s v="Coreyshire"/>
    <n v="81876"/>
    <n v="798"/>
    <n v="22682"/>
    <n v="22"/>
    <n v="80"/>
    <x v="1"/>
    <n v="1"/>
    <x v="3"/>
    <n v="0.4395"/>
  </r>
  <r>
    <x v="454"/>
    <s v="East Louismouth"/>
    <n v="47154"/>
    <n v="636"/>
    <n v="41392"/>
    <n v="19"/>
    <n v="40"/>
    <x v="0"/>
    <n v="0"/>
    <x v="1"/>
    <n v="0.4395"/>
  </r>
  <r>
    <x v="455"/>
    <s v="Susanburgh"/>
    <n v="118039"/>
    <n v="304"/>
    <n v="21526"/>
    <n v="15"/>
    <n v="55"/>
    <x v="0"/>
    <n v="0"/>
    <x v="0"/>
    <n v="0.4395"/>
  </r>
  <r>
    <x v="456"/>
    <s v="Maryberg"/>
    <n v="114607"/>
    <n v="639"/>
    <n v="32454"/>
    <n v="29"/>
    <n v="65"/>
    <x v="1"/>
    <n v="1"/>
    <x v="1"/>
    <n v="0.4395"/>
  </r>
  <r>
    <x v="457"/>
    <s v="East Debbieland"/>
    <n v="69321"/>
    <n v="587"/>
    <n v="10175"/>
    <n v="34"/>
    <n v="60"/>
    <x v="1"/>
    <n v="1"/>
    <x v="2"/>
    <n v="0.4395"/>
  </r>
  <r>
    <x v="458"/>
    <s v="North Melissatown"/>
    <n v="89929"/>
    <n v="714"/>
    <n v="39668"/>
    <n v="13"/>
    <n v="65"/>
    <x v="1"/>
    <n v="1"/>
    <x v="1"/>
    <n v="0.4395"/>
  </r>
  <r>
    <x v="459"/>
    <s v="Valdezberg"/>
    <n v="71441"/>
    <n v="674"/>
    <n v="26722"/>
    <n v="14"/>
    <n v="65"/>
    <x v="1"/>
    <n v="1"/>
    <x v="1"/>
    <n v="0.4395"/>
  </r>
  <r>
    <x v="460"/>
    <s v="South Walter"/>
    <n v="128548"/>
    <n v="392"/>
    <n v="27003"/>
    <n v="23"/>
    <n v="55"/>
    <x v="0"/>
    <n v="0"/>
    <x v="0"/>
    <n v="0.4395"/>
  </r>
  <r>
    <x v="461"/>
    <s v="Port Willie"/>
    <n v="39508"/>
    <n v="756"/>
    <n v="11434"/>
    <n v="11"/>
    <n v="65"/>
    <x v="1"/>
    <n v="1"/>
    <x v="3"/>
    <n v="0.4395"/>
  </r>
  <r>
    <x v="462"/>
    <s v="Lake Jessica"/>
    <n v="31220"/>
    <n v="667"/>
    <n v="3648"/>
    <n v="14"/>
    <n v="50"/>
    <x v="0"/>
    <n v="0"/>
    <x v="1"/>
    <n v="0.4395"/>
  </r>
  <r>
    <x v="463"/>
    <s v="North Elizabeth"/>
    <n v="90068"/>
    <n v="830"/>
    <n v="24674"/>
    <n v="24"/>
    <n v="85"/>
    <x v="1"/>
    <n v="1"/>
    <x v="3"/>
    <n v="0.4395"/>
  </r>
  <r>
    <x v="464"/>
    <s v="Dakotahaven"/>
    <n v="111416"/>
    <n v="580"/>
    <n v="49621"/>
    <n v="16"/>
    <n v="60"/>
    <x v="1"/>
    <n v="1"/>
    <x v="2"/>
    <n v="0.4395"/>
  </r>
  <r>
    <x v="465"/>
    <s v="Diazland"/>
    <n v="103792"/>
    <n v="829"/>
    <n v="17487"/>
    <n v="24"/>
    <n v="95"/>
    <x v="1"/>
    <n v="1"/>
    <x v="3"/>
    <n v="0.4395"/>
  </r>
  <r>
    <x v="466"/>
    <s v="Tommyfort"/>
    <n v="43104"/>
    <n v="306"/>
    <n v="33888"/>
    <n v="8"/>
    <n v="20"/>
    <x v="0"/>
    <n v="0"/>
    <x v="0"/>
    <n v="0.4395"/>
  </r>
  <r>
    <x v="467"/>
    <s v="Jasonburgh"/>
    <n v="39602"/>
    <n v="461"/>
    <n v="24738"/>
    <n v="38"/>
    <n v="25"/>
    <x v="0"/>
    <n v="0"/>
    <x v="2"/>
    <n v="0.4395"/>
  </r>
  <r>
    <x v="468"/>
    <s v="Jenniferfort"/>
    <n v="100468"/>
    <n v="790"/>
    <n v="32393"/>
    <n v="13"/>
    <n v="85"/>
    <x v="1"/>
    <n v="1"/>
    <x v="3"/>
    <n v="0.4395"/>
  </r>
  <r>
    <x v="469"/>
    <s v="North David"/>
    <n v="57938"/>
    <n v="464"/>
    <n v="9829"/>
    <n v="40"/>
    <n v="45"/>
    <x v="0"/>
    <n v="0"/>
    <x v="2"/>
    <n v="0.4395"/>
  </r>
  <r>
    <x v="470"/>
    <s v="West Sandra"/>
    <n v="96307"/>
    <n v="829"/>
    <n v="27571"/>
    <n v="38"/>
    <n v="85"/>
    <x v="1"/>
    <n v="1"/>
    <x v="3"/>
    <n v="0.4395"/>
  </r>
  <r>
    <x v="471"/>
    <s v="Staceyborough"/>
    <n v="64760"/>
    <n v="759"/>
    <n v="40749"/>
    <n v="30"/>
    <n v="70"/>
    <x v="1"/>
    <n v="1"/>
    <x v="3"/>
    <n v="0.4395"/>
  </r>
  <r>
    <x v="472"/>
    <s v="Port Brandi"/>
    <n v="47361"/>
    <n v="486"/>
    <n v="41842"/>
    <n v="32"/>
    <n v="25"/>
    <x v="0"/>
    <n v="0"/>
    <x v="2"/>
    <n v="0.4395"/>
  </r>
  <r>
    <x v="473"/>
    <s v="Carlsonland"/>
    <n v="75745"/>
    <n v="535"/>
    <n v="25786"/>
    <n v="24"/>
    <n v="45"/>
    <x v="0"/>
    <n v="0"/>
    <x v="2"/>
    <n v="0.4395"/>
  </r>
  <r>
    <x v="474"/>
    <s v="Serranoville"/>
    <n v="145456"/>
    <n v="481"/>
    <n v="32186"/>
    <n v="39"/>
    <n v="55"/>
    <x v="0"/>
    <n v="0"/>
    <x v="2"/>
    <n v="0.4395"/>
  </r>
  <r>
    <x v="475"/>
    <s v="North Timothyberg"/>
    <n v="39016"/>
    <n v="301"/>
    <n v="45470"/>
    <n v="27"/>
    <n v="25"/>
    <x v="0"/>
    <n v="0"/>
    <x v="0"/>
    <n v="0.4395"/>
  </r>
  <r>
    <x v="476"/>
    <s v="Perezfort"/>
    <n v="145247"/>
    <n v="690"/>
    <n v="23971"/>
    <n v="37"/>
    <n v="80"/>
    <x v="1"/>
    <n v="1"/>
    <x v="1"/>
    <n v="0.4395"/>
  </r>
  <r>
    <x v="477"/>
    <s v="South Dennisfort"/>
    <n v="62018"/>
    <n v="538"/>
    <n v="6493"/>
    <n v="18"/>
    <n v="45"/>
    <x v="0"/>
    <n v="0"/>
    <x v="2"/>
    <n v="0.4395"/>
  </r>
  <r>
    <x v="478"/>
    <s v="Lake Juliatown"/>
    <n v="78434"/>
    <n v="835"/>
    <n v="8722"/>
    <n v="33"/>
    <n v="90"/>
    <x v="1"/>
    <n v="1"/>
    <x v="3"/>
    <n v="0.4395"/>
  </r>
  <r>
    <x v="479"/>
    <s v="Robertville"/>
    <n v="67353"/>
    <n v="458"/>
    <n v="28923"/>
    <n v="37"/>
    <n v="35"/>
    <x v="0"/>
    <n v="0"/>
    <x v="2"/>
    <n v="0.4395"/>
  </r>
  <r>
    <x v="480"/>
    <s v="Cherylfurt"/>
    <n v="50676"/>
    <n v="508"/>
    <n v="28081"/>
    <n v="35"/>
    <n v="35"/>
    <x v="0"/>
    <n v="0"/>
    <x v="2"/>
    <n v="0.4395"/>
  </r>
  <r>
    <x v="481"/>
    <s v="Kingport"/>
    <n v="87433"/>
    <n v="652"/>
    <n v="47235"/>
    <n v="25"/>
    <n v="55"/>
    <x v="0"/>
    <n v="0"/>
    <x v="1"/>
    <n v="0.4395"/>
  </r>
  <r>
    <x v="482"/>
    <s v="South Krista"/>
    <n v="139280"/>
    <n v="465"/>
    <n v="7571"/>
    <n v="13"/>
    <n v="60"/>
    <x v="1"/>
    <n v="1"/>
    <x v="2"/>
    <n v="0.4395"/>
  </r>
  <r>
    <x v="483"/>
    <s v="East Paultown"/>
    <n v="101200"/>
    <n v="393"/>
    <n v="10524"/>
    <n v="30"/>
    <n v="55"/>
    <x v="0"/>
    <n v="0"/>
    <x v="0"/>
    <n v="0.4395"/>
  </r>
  <r>
    <x v="484"/>
    <s v="Ariasfurt"/>
    <n v="122214"/>
    <n v="833"/>
    <n v="19774"/>
    <n v="38"/>
    <n v="95"/>
    <x v="1"/>
    <n v="1"/>
    <x v="3"/>
    <n v="0.4395"/>
  </r>
  <r>
    <x v="485"/>
    <s v="Gonzalesborough"/>
    <n v="69651"/>
    <n v="830"/>
    <n v="19743"/>
    <n v="12"/>
    <n v="80"/>
    <x v="1"/>
    <n v="1"/>
    <x v="3"/>
    <n v="0.4395"/>
  </r>
  <r>
    <x v="486"/>
    <s v="New Gavin"/>
    <n v="110173"/>
    <n v="336"/>
    <n v="24575"/>
    <n v="15"/>
    <n v="55"/>
    <x v="0"/>
    <n v="0"/>
    <x v="0"/>
    <n v="0.4395"/>
  </r>
  <r>
    <x v="487"/>
    <s v="Kimberlystad"/>
    <n v="135788"/>
    <n v="704"/>
    <n v="27571"/>
    <n v="37"/>
    <n v="80"/>
    <x v="1"/>
    <n v="1"/>
    <x v="1"/>
    <n v="0.4395"/>
  </r>
  <r>
    <x v="488"/>
    <s v="New Justinside"/>
    <n v="115717"/>
    <n v="656"/>
    <n v="23772"/>
    <n v="17"/>
    <n v="70"/>
    <x v="1"/>
    <n v="1"/>
    <x v="1"/>
    <n v="0.4395"/>
  </r>
  <r>
    <x v="489"/>
    <s v="Andrewsview"/>
    <n v="99329"/>
    <n v="479"/>
    <n v="27681"/>
    <n v="32"/>
    <n v="45"/>
    <x v="0"/>
    <n v="0"/>
    <x v="2"/>
    <n v="0.4395"/>
  </r>
  <r>
    <x v="490"/>
    <s v="Port Williamview"/>
    <n v="31025"/>
    <n v="850"/>
    <n v="38676"/>
    <n v="16"/>
    <n v="65"/>
    <x v="1"/>
    <n v="1"/>
    <x v="3"/>
    <n v="0.4395"/>
  </r>
  <r>
    <x v="491"/>
    <s v="Port Matthew"/>
    <n v="117538"/>
    <n v="769"/>
    <n v="45668"/>
    <n v="29"/>
    <n v="85"/>
    <x v="1"/>
    <n v="1"/>
    <x v="3"/>
    <n v="0.4395"/>
  </r>
  <r>
    <x v="492"/>
    <s v="Carlosbury"/>
    <n v="137099"/>
    <n v="535"/>
    <n v="21691"/>
    <n v="26"/>
    <n v="55"/>
    <x v="0"/>
    <n v="0"/>
    <x v="2"/>
    <n v="0.4395"/>
  </r>
  <r>
    <x v="493"/>
    <s v="Johnland"/>
    <n v="102692"/>
    <n v="708"/>
    <n v="45151"/>
    <n v="21"/>
    <n v="70"/>
    <x v="1"/>
    <n v="1"/>
    <x v="1"/>
    <n v="0.4395"/>
  </r>
  <r>
    <x v="494"/>
    <s v="Jefferyshire"/>
    <n v="69240"/>
    <n v="575"/>
    <n v="12978"/>
    <n v="12"/>
    <n v="45"/>
    <x v="0"/>
    <n v="0"/>
    <x v="2"/>
    <n v="0.4395"/>
  </r>
  <r>
    <x v="495"/>
    <s v="Port John"/>
    <n v="116951"/>
    <n v="664"/>
    <n v="11223"/>
    <n v="6"/>
    <n v="70"/>
    <x v="1"/>
    <n v="1"/>
    <x v="1"/>
    <n v="0.4395"/>
  </r>
  <r>
    <x v="496"/>
    <s v="Austinside"/>
    <n v="43577"/>
    <n v="343"/>
    <n v="32607"/>
    <n v="23"/>
    <n v="25"/>
    <x v="0"/>
    <n v="0"/>
    <x v="0"/>
    <n v="0.4395"/>
  </r>
  <r>
    <x v="497"/>
    <s v="Travishaven"/>
    <n v="145097"/>
    <n v="586"/>
    <n v="27075"/>
    <n v="14"/>
    <n v="70"/>
    <x v="1"/>
    <n v="1"/>
    <x v="2"/>
    <n v="0.4395"/>
  </r>
  <r>
    <x v="498"/>
    <s v="Mendozaside"/>
    <n v="47601"/>
    <n v="333"/>
    <n v="33930"/>
    <n v="22"/>
    <n v="25"/>
    <x v="0"/>
    <n v="0"/>
    <x v="0"/>
    <n v="0.4395"/>
  </r>
  <r>
    <x v="499"/>
    <s v="Lake Aprilmouth"/>
    <n v="64664"/>
    <n v="308"/>
    <n v="1774"/>
    <n v="13"/>
    <n v="50"/>
    <x v="0"/>
    <n v="0"/>
    <x v="0"/>
    <n v="0.4395"/>
  </r>
  <r>
    <x v="500"/>
    <s v="Jacobview"/>
    <n v="45129"/>
    <n v="542"/>
    <n v="18655"/>
    <n v="30"/>
    <n v="25"/>
    <x v="0"/>
    <n v="0"/>
    <x v="2"/>
    <n v="0.4395"/>
  </r>
  <r>
    <x v="501"/>
    <s v="Clarkstad"/>
    <n v="146616"/>
    <n v="673"/>
    <n v="27253"/>
    <n v="17"/>
    <n v="80"/>
    <x v="1"/>
    <n v="1"/>
    <x v="1"/>
    <n v="0.4395"/>
  </r>
  <r>
    <x v="502"/>
    <s v="Port Cory"/>
    <n v="44029"/>
    <n v="576"/>
    <n v="16453"/>
    <n v="35"/>
    <n v="30"/>
    <x v="0"/>
    <n v="0"/>
    <x v="2"/>
    <n v="0.4395"/>
  </r>
  <r>
    <x v="503"/>
    <s v="South Linda"/>
    <n v="127310"/>
    <n v="480"/>
    <n v="28624"/>
    <n v="31"/>
    <n v="55"/>
    <x v="0"/>
    <n v="0"/>
    <x v="2"/>
    <n v="0.4395"/>
  </r>
  <r>
    <x v="504"/>
    <s v="Kristenport"/>
    <n v="102512"/>
    <n v="556"/>
    <n v="37840"/>
    <n v="36"/>
    <n v="50"/>
    <x v="0"/>
    <n v="0"/>
    <x v="2"/>
    <n v="0.4395"/>
  </r>
  <r>
    <x v="505"/>
    <s v="Port Jonathan"/>
    <n v="50374"/>
    <n v="398"/>
    <n v="30481"/>
    <n v="21"/>
    <n v="35"/>
    <x v="0"/>
    <n v="0"/>
    <x v="0"/>
    <n v="0.4395"/>
  </r>
  <r>
    <x v="506"/>
    <s v="Mauricechester"/>
    <n v="65697"/>
    <n v="424"/>
    <n v="24009"/>
    <n v="38"/>
    <n v="40"/>
    <x v="0"/>
    <n v="0"/>
    <x v="0"/>
    <n v="0.4395"/>
  </r>
  <r>
    <x v="507"/>
    <s v="Port Justin"/>
    <n v="66930"/>
    <n v="632"/>
    <n v="45118"/>
    <n v="32"/>
    <n v="50"/>
    <x v="0"/>
    <n v="0"/>
    <x v="1"/>
    <n v="0.4395"/>
  </r>
  <r>
    <x v="508"/>
    <s v="Stevenberg"/>
    <n v="109276"/>
    <n v="471"/>
    <n v="42981"/>
    <n v="21"/>
    <n v="50"/>
    <x v="0"/>
    <n v="0"/>
    <x v="2"/>
    <n v="0.4395"/>
  </r>
  <r>
    <x v="509"/>
    <s v="North Fernandobury"/>
    <n v="57607"/>
    <n v="621"/>
    <n v="21766"/>
    <n v="18"/>
    <n v="55"/>
    <x v="0"/>
    <n v="0"/>
    <x v="1"/>
    <n v="0.4395"/>
  </r>
  <r>
    <x v="510"/>
    <s v="Normanstad"/>
    <n v="124058"/>
    <n v="833"/>
    <n v="30510"/>
    <n v="26"/>
    <n v="95"/>
    <x v="1"/>
    <n v="1"/>
    <x v="3"/>
    <n v="0.4395"/>
  </r>
  <r>
    <x v="511"/>
    <s v="Lake Johnathan"/>
    <n v="74942"/>
    <n v="381"/>
    <n v="14800"/>
    <n v="10"/>
    <n v="45"/>
    <x v="0"/>
    <n v="0"/>
    <x v="0"/>
    <n v="0.4395"/>
  </r>
  <r>
    <x v="512"/>
    <s v="Kelleytown"/>
    <n v="56685"/>
    <n v="706"/>
    <n v="35339"/>
    <n v="5"/>
    <n v="55"/>
    <x v="0"/>
    <n v="0"/>
    <x v="1"/>
    <n v="0.4395"/>
  </r>
  <r>
    <x v="513"/>
    <s v="Parkerbury"/>
    <n v="120111"/>
    <n v="590"/>
    <n v="30042"/>
    <n v="40"/>
    <n v="65"/>
    <x v="1"/>
    <n v="1"/>
    <x v="2"/>
    <n v="0.4395"/>
  </r>
  <r>
    <x v="514"/>
    <s v="Lake Michaelmouth"/>
    <n v="113130"/>
    <n v="787"/>
    <n v="31617"/>
    <n v="34"/>
    <n v="85"/>
    <x v="1"/>
    <n v="1"/>
    <x v="3"/>
    <n v="0.4395"/>
  </r>
  <r>
    <x v="515"/>
    <s v="New Carla"/>
    <n v="141792"/>
    <n v="745"/>
    <n v="35305"/>
    <n v="40"/>
    <n v="90"/>
    <x v="1"/>
    <n v="1"/>
    <x v="1"/>
    <n v="0.4395"/>
  </r>
  <r>
    <x v="516"/>
    <s v="Port Christopher"/>
    <n v="64600"/>
    <n v="615"/>
    <n v="24971"/>
    <n v="26"/>
    <n v="55"/>
    <x v="0"/>
    <n v="0"/>
    <x v="1"/>
    <n v="0.4395"/>
  </r>
  <r>
    <x v="517"/>
    <s v="West Justin"/>
    <n v="96244"/>
    <n v="847"/>
    <n v="1545"/>
    <n v="31"/>
    <n v="95"/>
    <x v="1"/>
    <n v="1"/>
    <x v="3"/>
    <n v="0.4395"/>
  </r>
  <r>
    <x v="518"/>
    <s v="Yatesbury"/>
    <n v="94032"/>
    <n v="307"/>
    <n v="36927"/>
    <n v="23"/>
    <n v="45"/>
    <x v="0"/>
    <n v="0"/>
    <x v="0"/>
    <n v="0.4395"/>
  </r>
  <r>
    <x v="519"/>
    <s v="East Jennifer"/>
    <n v="62914"/>
    <n v="699"/>
    <n v="25796"/>
    <n v="14"/>
    <n v="60"/>
    <x v="1"/>
    <n v="1"/>
    <x v="1"/>
    <n v="0.4395"/>
  </r>
  <r>
    <x v="520"/>
    <s v="Justinside"/>
    <n v="148664"/>
    <n v="575"/>
    <n v="28060"/>
    <n v="12"/>
    <n v="55"/>
    <x v="0"/>
    <n v="0"/>
    <x v="2"/>
    <n v="0.4395"/>
  </r>
  <r>
    <x v="521"/>
    <s v="Williamsonview"/>
    <n v="149034"/>
    <n v="803"/>
    <n v="13306"/>
    <n v="20"/>
    <n v="100"/>
    <x v="1"/>
    <n v="1"/>
    <x v="3"/>
    <n v="0.4395"/>
  </r>
  <r>
    <x v="522"/>
    <s v="North Julian"/>
    <n v="140900"/>
    <n v="428"/>
    <n v="47871"/>
    <n v="28"/>
    <n v="50"/>
    <x v="0"/>
    <n v="0"/>
    <x v="0"/>
    <n v="0.4395"/>
  </r>
  <r>
    <x v="523"/>
    <s v="Robinsonchester"/>
    <n v="36658"/>
    <n v="619"/>
    <n v="33662"/>
    <n v="23"/>
    <n v="40"/>
    <x v="0"/>
    <n v="0"/>
    <x v="1"/>
    <n v="0.4395"/>
  </r>
  <r>
    <x v="524"/>
    <s v="North Joseph"/>
    <n v="42097"/>
    <n v="701"/>
    <n v="5678"/>
    <n v="34"/>
    <n v="60"/>
    <x v="1"/>
    <n v="1"/>
    <x v="1"/>
    <n v="0.4395"/>
  </r>
  <r>
    <x v="525"/>
    <s v="Claytonville"/>
    <n v="113136"/>
    <n v="554"/>
    <n v="26218"/>
    <n v="28"/>
    <n v="55"/>
    <x v="0"/>
    <n v="0"/>
    <x v="2"/>
    <n v="0.4395"/>
  </r>
  <r>
    <x v="526"/>
    <s v="New Elizabethborough"/>
    <n v="85518"/>
    <n v="784"/>
    <n v="26501"/>
    <n v="19"/>
    <n v="80"/>
    <x v="1"/>
    <n v="1"/>
    <x v="3"/>
    <n v="0.4395"/>
  </r>
  <r>
    <x v="527"/>
    <s v="West Timothyport"/>
    <n v="138704"/>
    <n v="503"/>
    <n v="24620"/>
    <n v="3"/>
    <n v="45"/>
    <x v="0"/>
    <n v="0"/>
    <x v="2"/>
    <n v="0.4395"/>
  </r>
  <r>
    <x v="528"/>
    <s v="Nguyenburgh"/>
    <n v="66265"/>
    <n v="582"/>
    <n v="39318"/>
    <n v="7"/>
    <n v="45"/>
    <x v="0"/>
    <n v="0"/>
    <x v="2"/>
    <n v="0.4395"/>
  </r>
  <r>
    <x v="529"/>
    <s v="Barkerberg"/>
    <n v="35778"/>
    <n v="680"/>
    <n v="6864"/>
    <n v="15"/>
    <n v="60"/>
    <x v="1"/>
    <n v="1"/>
    <x v="1"/>
    <n v="0.4395"/>
  </r>
  <r>
    <x v="530"/>
    <s v="North Michaelberg"/>
    <n v="30464"/>
    <n v="849"/>
    <n v="8038"/>
    <n v="8"/>
    <n v="65"/>
    <x v="1"/>
    <n v="1"/>
    <x v="3"/>
    <n v="0.4395"/>
  </r>
  <r>
    <x v="531"/>
    <s v="Lindamouth"/>
    <n v="73719"/>
    <n v="497"/>
    <n v="2399"/>
    <n v="24"/>
    <n v="50"/>
    <x v="0"/>
    <n v="0"/>
    <x v="2"/>
    <n v="0.4395"/>
  </r>
  <r>
    <x v="532"/>
    <s v="Mannside"/>
    <n v="131072"/>
    <n v="601"/>
    <n v="36568"/>
    <n v="31"/>
    <n v="65"/>
    <x v="1"/>
    <n v="1"/>
    <x v="1"/>
    <n v="0.4395"/>
  </r>
  <r>
    <x v="533"/>
    <s v="Hillside"/>
    <n v="47146"/>
    <n v="464"/>
    <n v="5513"/>
    <n v="33"/>
    <n v="35"/>
    <x v="0"/>
    <n v="0"/>
    <x v="2"/>
    <n v="0.4395"/>
  </r>
  <r>
    <x v="534"/>
    <s v="Shawnhaven"/>
    <n v="113507"/>
    <n v="688"/>
    <n v="49080"/>
    <n v="11"/>
    <n v="70"/>
    <x v="1"/>
    <n v="1"/>
    <x v="1"/>
    <n v="0.4395"/>
  </r>
  <r>
    <x v="535"/>
    <s v="West Jennifer"/>
    <n v="64335"/>
    <n v="696"/>
    <n v="13443"/>
    <n v="33"/>
    <n v="70"/>
    <x v="1"/>
    <n v="1"/>
    <x v="1"/>
    <n v="0.4395"/>
  </r>
  <r>
    <x v="536"/>
    <s v="Marcusmouth"/>
    <n v="51178"/>
    <n v="413"/>
    <n v="7308"/>
    <n v="33"/>
    <n v="45"/>
    <x v="0"/>
    <n v="0"/>
    <x v="0"/>
    <n v="0.4395"/>
  </r>
  <r>
    <x v="537"/>
    <s v="Port Anthony"/>
    <n v="127154"/>
    <n v="409"/>
    <n v="32809"/>
    <n v="12"/>
    <n v="50"/>
    <x v="0"/>
    <n v="0"/>
    <x v="0"/>
    <n v="0.4395"/>
  </r>
  <r>
    <x v="538"/>
    <s v="Foxshire"/>
    <n v="87912"/>
    <n v="562"/>
    <n v="4216"/>
    <n v="23"/>
    <n v="55"/>
    <x v="0"/>
    <n v="0"/>
    <x v="2"/>
    <n v="0.4395"/>
  </r>
  <r>
    <x v="539"/>
    <s v="Lake Travis"/>
    <n v="102309"/>
    <n v="381"/>
    <n v="31674"/>
    <n v="40"/>
    <n v="50"/>
    <x v="0"/>
    <n v="0"/>
    <x v="0"/>
    <n v="0.4395"/>
  </r>
  <r>
    <x v="540"/>
    <s v="Shortton"/>
    <n v="122493"/>
    <n v="572"/>
    <n v="35669"/>
    <n v="2"/>
    <n v="40"/>
    <x v="0"/>
    <n v="0"/>
    <x v="2"/>
    <n v="0.4395"/>
  </r>
  <r>
    <x v="541"/>
    <s v="New Colton"/>
    <n v="86057"/>
    <n v="536"/>
    <n v="35842"/>
    <n v="24"/>
    <n v="40"/>
    <x v="0"/>
    <n v="0"/>
    <x v="2"/>
    <n v="0.4395"/>
  </r>
  <r>
    <x v="542"/>
    <s v="New Kara"/>
    <n v="103519"/>
    <n v="725"/>
    <n v="49896"/>
    <n v="6"/>
    <n v="65"/>
    <x v="1"/>
    <n v="1"/>
    <x v="1"/>
    <n v="0.4395"/>
  </r>
  <r>
    <x v="543"/>
    <s v="Andradeburgh"/>
    <n v="31267"/>
    <n v="484"/>
    <n v="37042"/>
    <n v="25"/>
    <n v="25"/>
    <x v="0"/>
    <n v="0"/>
    <x v="2"/>
    <n v="0.4395"/>
  </r>
  <r>
    <x v="544"/>
    <s v="Mahoneymouth"/>
    <n v="44663"/>
    <n v="632"/>
    <n v="25361"/>
    <n v="26"/>
    <n v="40"/>
    <x v="0"/>
    <n v="0"/>
    <x v="1"/>
    <n v="0.4395"/>
  </r>
  <r>
    <x v="545"/>
    <s v="New Amy"/>
    <n v="39862"/>
    <n v="684"/>
    <n v="37060"/>
    <n v="16"/>
    <n v="50"/>
    <x v="0"/>
    <n v="0"/>
    <x v="1"/>
    <n v="0.4395"/>
  </r>
  <r>
    <x v="546"/>
    <s v="Lake Austinport"/>
    <n v="145750"/>
    <n v="316"/>
    <n v="34922"/>
    <n v="8"/>
    <n v="50"/>
    <x v="0"/>
    <n v="0"/>
    <x v="0"/>
    <n v="0.4395"/>
  </r>
  <r>
    <x v="547"/>
    <s v="Andrewview"/>
    <n v="120573"/>
    <n v="823"/>
    <n v="37459"/>
    <n v="36"/>
    <n v="90"/>
    <x v="1"/>
    <n v="1"/>
    <x v="3"/>
    <n v="0.4395"/>
  </r>
  <r>
    <x v="548"/>
    <s v="Ericview"/>
    <n v="148479"/>
    <n v="675"/>
    <n v="39152"/>
    <n v="15"/>
    <n v="75"/>
    <x v="1"/>
    <n v="1"/>
    <x v="1"/>
    <n v="0.4395"/>
  </r>
  <r>
    <x v="549"/>
    <s v="Carrollborough"/>
    <n v="49536"/>
    <n v="379"/>
    <n v="48420"/>
    <n v="20"/>
    <n v="25"/>
    <x v="0"/>
    <n v="0"/>
    <x v="0"/>
    <n v="0.4395"/>
  </r>
  <r>
    <x v="550"/>
    <s v="New Dawnton"/>
    <n v="101511"/>
    <n v="690"/>
    <n v="6143"/>
    <n v="3"/>
    <n v="75"/>
    <x v="1"/>
    <n v="1"/>
    <x v="1"/>
    <n v="0.4395"/>
  </r>
  <r>
    <x v="551"/>
    <s v="Butlerville"/>
    <n v="34722"/>
    <n v="532"/>
    <n v="49999"/>
    <n v="38"/>
    <n v="25"/>
    <x v="0"/>
    <n v="0"/>
    <x v="2"/>
    <n v="0.4395"/>
  </r>
  <r>
    <x v="552"/>
    <s v="West Alicemouth"/>
    <n v="139392"/>
    <n v="453"/>
    <n v="22419"/>
    <n v="32"/>
    <n v="55"/>
    <x v="0"/>
    <n v="0"/>
    <x v="2"/>
    <n v="0.4395"/>
  </r>
  <r>
    <x v="553"/>
    <s v="Maddoxshire"/>
    <n v="78393"/>
    <n v="816"/>
    <n v="6903"/>
    <n v="14"/>
    <n v="95"/>
    <x v="1"/>
    <n v="1"/>
    <x v="3"/>
    <n v="0.4395"/>
  </r>
  <r>
    <x v="554"/>
    <s v="Christophershire"/>
    <n v="106350"/>
    <n v="350"/>
    <n v="36923"/>
    <n v="25"/>
    <n v="50"/>
    <x v="0"/>
    <n v="0"/>
    <x v="0"/>
    <n v="0.4395"/>
  </r>
  <r>
    <x v="555"/>
    <s v="Port Dennis"/>
    <n v="102420"/>
    <n v="502"/>
    <n v="32972"/>
    <n v="25"/>
    <n v="50"/>
    <x v="0"/>
    <n v="0"/>
    <x v="2"/>
    <n v="0.4395"/>
  </r>
  <r>
    <x v="556"/>
    <s v="East Charles"/>
    <n v="49410"/>
    <n v="740"/>
    <n v="22195"/>
    <n v="36"/>
    <n v="60"/>
    <x v="1"/>
    <n v="1"/>
    <x v="1"/>
    <n v="0.4395"/>
  </r>
  <r>
    <x v="557"/>
    <s v="Jamesstad"/>
    <n v="86333"/>
    <n v="324"/>
    <n v="20976"/>
    <n v="10"/>
    <n v="50"/>
    <x v="0"/>
    <n v="0"/>
    <x v="0"/>
    <n v="0.4395"/>
  </r>
  <r>
    <x v="558"/>
    <s v="South Brady"/>
    <n v="46704"/>
    <n v="539"/>
    <n v="14086"/>
    <n v="23"/>
    <n v="30"/>
    <x v="0"/>
    <n v="0"/>
    <x v="2"/>
    <n v="0.4395"/>
  </r>
  <r>
    <x v="559"/>
    <s v="East Stacyberg"/>
    <n v="35482"/>
    <n v="594"/>
    <n v="1900"/>
    <n v="21"/>
    <n v="55"/>
    <x v="0"/>
    <n v="0"/>
    <x v="2"/>
    <n v="0.4395"/>
  </r>
  <r>
    <x v="560"/>
    <s v="West Jasonside"/>
    <n v="70404"/>
    <n v="516"/>
    <n v="14356"/>
    <n v="34"/>
    <n v="45"/>
    <x v="0"/>
    <n v="0"/>
    <x v="2"/>
    <n v="0.4395"/>
  </r>
  <r>
    <x v="561"/>
    <s v="Lake Holly"/>
    <n v="77795"/>
    <n v="318"/>
    <n v="25681"/>
    <n v="37"/>
    <n v="45"/>
    <x v="0"/>
    <n v="0"/>
    <x v="0"/>
    <n v="0.4395"/>
  </r>
  <r>
    <x v="562"/>
    <s v="West Jamesview"/>
    <n v="147831"/>
    <n v="354"/>
    <n v="31471"/>
    <n v="0"/>
    <n v="40"/>
    <x v="0"/>
    <n v="0"/>
    <x v="0"/>
    <n v="0.4395"/>
  </r>
  <r>
    <x v="563"/>
    <s v="Michelletown"/>
    <n v="134349"/>
    <n v="599"/>
    <n v="43559"/>
    <n v="24"/>
    <n v="65"/>
    <x v="1"/>
    <n v="1"/>
    <x v="2"/>
    <n v="0.4395"/>
  </r>
  <r>
    <x v="564"/>
    <s v="West Toddside"/>
    <n v="142814"/>
    <n v="390"/>
    <n v="13217"/>
    <n v="12"/>
    <n v="60"/>
    <x v="1"/>
    <n v="1"/>
    <x v="0"/>
    <n v="0.4395"/>
  </r>
  <r>
    <x v="565"/>
    <s v="North Johnhaven"/>
    <n v="35229"/>
    <n v="612"/>
    <n v="22860"/>
    <n v="31"/>
    <n v="40"/>
    <x v="0"/>
    <n v="0"/>
    <x v="1"/>
    <n v="0.4395"/>
  </r>
  <r>
    <x v="566"/>
    <s v="Michaelport"/>
    <n v="147823"/>
    <n v="541"/>
    <n v="33850"/>
    <n v="17"/>
    <n v="55"/>
    <x v="0"/>
    <n v="0"/>
    <x v="2"/>
    <n v="0.4395"/>
  </r>
  <r>
    <x v="567"/>
    <s v="New Stacybury"/>
    <n v="76898"/>
    <n v="455"/>
    <n v="23399"/>
    <n v="25"/>
    <n v="45"/>
    <x v="0"/>
    <n v="0"/>
    <x v="2"/>
    <n v="0.4395"/>
  </r>
  <r>
    <x v="568"/>
    <s v="South John"/>
    <n v="57535"/>
    <n v="456"/>
    <n v="28948"/>
    <n v="19"/>
    <n v="35"/>
    <x v="0"/>
    <n v="0"/>
    <x v="2"/>
    <n v="0.4395"/>
  </r>
  <r>
    <x v="569"/>
    <s v="Lake Dillon"/>
    <n v="119399"/>
    <n v="507"/>
    <n v="10051"/>
    <n v="19"/>
    <n v="60"/>
    <x v="1"/>
    <n v="1"/>
    <x v="2"/>
    <n v="0.4395"/>
  </r>
  <r>
    <x v="570"/>
    <s v="Forbesberg"/>
    <n v="62706"/>
    <n v="461"/>
    <n v="21807"/>
    <n v="4"/>
    <n v="30"/>
    <x v="0"/>
    <n v="0"/>
    <x v="2"/>
    <n v="0.4395"/>
  </r>
  <r>
    <x v="571"/>
    <s v="Maryberg"/>
    <n v="117416"/>
    <n v="330"/>
    <n v="21885"/>
    <n v="26"/>
    <n v="55"/>
    <x v="0"/>
    <n v="0"/>
    <x v="0"/>
    <n v="0.4395"/>
  </r>
  <r>
    <x v="572"/>
    <s v="Edwinborough"/>
    <n v="43473"/>
    <n v="409"/>
    <n v="9620"/>
    <n v="11"/>
    <n v="35"/>
    <x v="0"/>
    <n v="0"/>
    <x v="0"/>
    <n v="0.4395"/>
  </r>
  <r>
    <x v="573"/>
    <s v="New Jesse"/>
    <n v="76357"/>
    <n v="326"/>
    <n v="24544"/>
    <n v="5"/>
    <n v="40"/>
    <x v="0"/>
    <n v="0"/>
    <x v="0"/>
    <n v="0.4395"/>
  </r>
  <r>
    <x v="574"/>
    <s v="Josephstad"/>
    <n v="132251"/>
    <n v="488"/>
    <n v="26392"/>
    <n v="31"/>
    <n v="55"/>
    <x v="0"/>
    <n v="0"/>
    <x v="2"/>
    <n v="0.4395"/>
  </r>
  <r>
    <x v="575"/>
    <s v="Durantown"/>
    <n v="103385"/>
    <n v="576"/>
    <n v="28069"/>
    <n v="14"/>
    <n v="50"/>
    <x v="0"/>
    <n v="0"/>
    <x v="2"/>
    <n v="0.4395"/>
  </r>
  <r>
    <x v="576"/>
    <s v="East Saramouth"/>
    <n v="145885"/>
    <n v="801"/>
    <n v="46079"/>
    <n v="20"/>
    <n v="90"/>
    <x v="1"/>
    <n v="1"/>
    <x v="3"/>
    <n v="0.4395"/>
  </r>
  <r>
    <x v="577"/>
    <s v="New Jillfurt"/>
    <n v="144650"/>
    <n v="620"/>
    <n v="26831"/>
    <n v="39"/>
    <n v="70"/>
    <x v="1"/>
    <n v="1"/>
    <x v="1"/>
    <n v="0.4395"/>
  </r>
  <r>
    <x v="578"/>
    <s v="New Danielmouth"/>
    <n v="83264"/>
    <n v="343"/>
    <n v="17103"/>
    <n v="33"/>
    <n v="50"/>
    <x v="0"/>
    <n v="0"/>
    <x v="0"/>
    <n v="0.4395"/>
  </r>
  <r>
    <x v="579"/>
    <s v="Blackton"/>
    <n v="111351"/>
    <n v="494"/>
    <n v="20082"/>
    <n v="28"/>
    <n v="55"/>
    <x v="0"/>
    <n v="0"/>
    <x v="2"/>
    <n v="0.4395"/>
  </r>
  <r>
    <x v="580"/>
    <s v="Jacksonport"/>
    <n v="128235"/>
    <n v="355"/>
    <n v="46216"/>
    <n v="33"/>
    <n v="50"/>
    <x v="0"/>
    <n v="0"/>
    <x v="0"/>
    <n v="0.4395"/>
  </r>
  <r>
    <x v="581"/>
    <s v="Lake Vincentburgh"/>
    <n v="50257"/>
    <n v="438"/>
    <n v="26760"/>
    <n v="26"/>
    <n v="35"/>
    <x v="0"/>
    <n v="0"/>
    <x v="0"/>
    <n v="0.4395"/>
  </r>
  <r>
    <x v="582"/>
    <s v="South Christopher"/>
    <n v="61029"/>
    <n v="631"/>
    <n v="46332"/>
    <n v="10"/>
    <n v="50"/>
    <x v="0"/>
    <n v="0"/>
    <x v="1"/>
    <n v="0.4395"/>
  </r>
  <r>
    <x v="583"/>
    <s v="Waltersland"/>
    <n v="143325"/>
    <n v="836"/>
    <n v="47352"/>
    <n v="24"/>
    <n v="90"/>
    <x v="1"/>
    <n v="1"/>
    <x v="3"/>
    <n v="0.4395"/>
  </r>
  <r>
    <x v="584"/>
    <s v="South Andrea"/>
    <n v="51299"/>
    <n v="344"/>
    <n v="12199"/>
    <n v="21"/>
    <n v="45"/>
    <x v="0"/>
    <n v="0"/>
    <x v="0"/>
    <n v="0.4395"/>
  </r>
  <r>
    <x v="585"/>
    <s v="East Kayla"/>
    <n v="134842"/>
    <n v="352"/>
    <n v="28497"/>
    <n v="19"/>
    <n v="55"/>
    <x v="0"/>
    <n v="0"/>
    <x v="0"/>
    <n v="0.4395"/>
  </r>
  <r>
    <x v="586"/>
    <s v="North Rachel"/>
    <n v="136269"/>
    <n v="507"/>
    <n v="1231"/>
    <n v="39"/>
    <n v="60"/>
    <x v="1"/>
    <n v="1"/>
    <x v="2"/>
    <n v="0.4395"/>
  </r>
  <r>
    <x v="587"/>
    <s v="Stephenstown"/>
    <n v="53206"/>
    <n v="805"/>
    <n v="16589"/>
    <n v="13"/>
    <n v="80"/>
    <x v="1"/>
    <n v="1"/>
    <x v="3"/>
    <n v="0.4395"/>
  </r>
  <r>
    <x v="588"/>
    <s v="New Carolbury"/>
    <n v="145528"/>
    <n v="584"/>
    <n v="41616"/>
    <n v="40"/>
    <n v="65"/>
    <x v="1"/>
    <n v="1"/>
    <x v="2"/>
    <n v="0.4395"/>
  </r>
  <r>
    <x v="589"/>
    <s v="North Denise"/>
    <n v="84040"/>
    <n v="337"/>
    <n v="10527"/>
    <n v="2"/>
    <n v="40"/>
    <x v="0"/>
    <n v="0"/>
    <x v="0"/>
    <n v="0.4395"/>
  </r>
  <r>
    <x v="590"/>
    <s v="North Danielburgh"/>
    <n v="33248"/>
    <n v="465"/>
    <n v="45046"/>
    <n v="18"/>
    <n v="25"/>
    <x v="0"/>
    <n v="0"/>
    <x v="2"/>
    <n v="0.4395"/>
  </r>
  <r>
    <x v="591"/>
    <s v="South Kara"/>
    <n v="53509"/>
    <n v="668"/>
    <n v="3348"/>
    <n v="5"/>
    <n v="60"/>
    <x v="1"/>
    <n v="1"/>
    <x v="1"/>
    <n v="0.4395"/>
  </r>
  <r>
    <x v="592"/>
    <s v="Port Ronaldside"/>
    <n v="126542"/>
    <n v="366"/>
    <n v="20191"/>
    <n v="30"/>
    <n v="55"/>
    <x v="0"/>
    <n v="0"/>
    <x v="0"/>
    <n v="0.4395"/>
  </r>
  <r>
    <x v="593"/>
    <s v="Warrenborough"/>
    <n v="73540"/>
    <n v="359"/>
    <n v="8163"/>
    <n v="36"/>
    <n v="45"/>
    <x v="0"/>
    <n v="0"/>
    <x v="0"/>
    <n v="0.4395"/>
  </r>
  <r>
    <x v="594"/>
    <s v="Ramseyport"/>
    <n v="132548"/>
    <n v="737"/>
    <n v="40901"/>
    <n v="20"/>
    <n v="75"/>
    <x v="1"/>
    <n v="1"/>
    <x v="1"/>
    <n v="0.4395"/>
  </r>
  <r>
    <x v="595"/>
    <s v="New Anna"/>
    <n v="83964"/>
    <n v="832"/>
    <n v="48787"/>
    <n v="40"/>
    <n v="80"/>
    <x v="1"/>
    <n v="1"/>
    <x v="3"/>
    <n v="0.4395"/>
  </r>
  <r>
    <x v="596"/>
    <s v="North David"/>
    <n v="135150"/>
    <n v="776"/>
    <n v="41990"/>
    <n v="7"/>
    <n v="80"/>
    <x v="1"/>
    <n v="1"/>
    <x v="3"/>
    <n v="0.4395"/>
  </r>
  <r>
    <x v="597"/>
    <s v="Gutierrezmouth"/>
    <n v="117806"/>
    <n v="658"/>
    <n v="37727"/>
    <n v="40"/>
    <n v="65"/>
    <x v="1"/>
    <n v="1"/>
    <x v="1"/>
    <n v="0.4395"/>
  </r>
  <r>
    <x v="598"/>
    <s v="Kristyport"/>
    <n v="143254"/>
    <n v="607"/>
    <n v="34206"/>
    <n v="35"/>
    <n v="70"/>
    <x v="1"/>
    <n v="1"/>
    <x v="1"/>
    <n v="0.4395"/>
  </r>
  <r>
    <x v="599"/>
    <s v="Randyshire"/>
    <n v="126345"/>
    <n v="329"/>
    <n v="12510"/>
    <n v="12"/>
    <n v="60"/>
    <x v="1"/>
    <n v="1"/>
    <x v="0"/>
    <n v="0.4395"/>
  </r>
  <r>
    <x v="600"/>
    <s v="Roblesberg"/>
    <n v="136266"/>
    <n v="793"/>
    <n v="11183"/>
    <n v="40"/>
    <n v="95"/>
    <x v="1"/>
    <n v="1"/>
    <x v="3"/>
    <n v="0.4395"/>
  </r>
  <r>
    <x v="601"/>
    <s v="Bowerschester"/>
    <n v="62527"/>
    <n v="357"/>
    <n v="35149"/>
    <n v="19"/>
    <n v="35"/>
    <x v="0"/>
    <n v="0"/>
    <x v="0"/>
    <n v="0.4395"/>
  </r>
  <r>
    <x v="602"/>
    <s v="East Barbaramouth"/>
    <n v="64970"/>
    <n v="662"/>
    <n v="5339"/>
    <n v="9"/>
    <n v="60"/>
    <x v="1"/>
    <n v="1"/>
    <x v="1"/>
    <n v="0.4395"/>
  </r>
  <r>
    <x v="603"/>
    <s v="New Catherine"/>
    <n v="50866"/>
    <n v="491"/>
    <n v="40006"/>
    <n v="7"/>
    <n v="30"/>
    <x v="0"/>
    <n v="0"/>
    <x v="2"/>
    <n v="0.4395"/>
  </r>
  <r>
    <x v="604"/>
    <s v="Jenniferview"/>
    <n v="133202"/>
    <n v="723"/>
    <n v="6688"/>
    <n v="31"/>
    <n v="85"/>
    <x v="1"/>
    <n v="1"/>
    <x v="1"/>
    <n v="0.4395"/>
  </r>
  <r>
    <x v="605"/>
    <s v="Javierport"/>
    <n v="121917"/>
    <n v="479"/>
    <n v="8355"/>
    <n v="23"/>
    <n v="60"/>
    <x v="1"/>
    <n v="1"/>
    <x v="2"/>
    <n v="0.4395"/>
  </r>
  <r>
    <x v="606"/>
    <s v="Hunterfort"/>
    <n v="44168"/>
    <n v="812"/>
    <n v="11097"/>
    <n v="12"/>
    <n v="70"/>
    <x v="1"/>
    <n v="1"/>
    <x v="3"/>
    <n v="0.4395"/>
  </r>
  <r>
    <x v="607"/>
    <s v="Kimberlyberg"/>
    <n v="80140"/>
    <n v="400"/>
    <n v="34826"/>
    <n v="8"/>
    <n v="35"/>
    <x v="0"/>
    <n v="0"/>
    <x v="0"/>
    <n v="0.4395"/>
  </r>
  <r>
    <x v="608"/>
    <s v="North Larryton"/>
    <n v="144316"/>
    <n v="389"/>
    <n v="22842"/>
    <n v="29"/>
    <n v="55"/>
    <x v="0"/>
    <n v="0"/>
    <x v="0"/>
    <n v="0.4395"/>
  </r>
  <r>
    <x v="609"/>
    <s v="Andrewport"/>
    <n v="35075"/>
    <n v="514"/>
    <n v="22029"/>
    <n v="12"/>
    <n v="25"/>
    <x v="0"/>
    <n v="0"/>
    <x v="2"/>
    <n v="0.4395"/>
  </r>
  <r>
    <x v="610"/>
    <s v="Lambertview"/>
    <n v="142537"/>
    <n v="452"/>
    <n v="11321"/>
    <n v="17"/>
    <n v="60"/>
    <x v="1"/>
    <n v="1"/>
    <x v="2"/>
    <n v="0.4395"/>
  </r>
  <r>
    <x v="611"/>
    <s v="East Amyside"/>
    <n v="91694"/>
    <n v="626"/>
    <n v="18763"/>
    <n v="9"/>
    <n v="60"/>
    <x v="1"/>
    <n v="1"/>
    <x v="1"/>
    <n v="0.4395"/>
  </r>
  <r>
    <x v="612"/>
    <s v="North Larry"/>
    <n v="59154"/>
    <n v="646"/>
    <n v="36427"/>
    <n v="28"/>
    <n v="50"/>
    <x v="0"/>
    <n v="0"/>
    <x v="1"/>
    <n v="0.4395"/>
  </r>
  <r>
    <x v="613"/>
    <s v="North Patrickland"/>
    <n v="56158"/>
    <n v="736"/>
    <n v="26684"/>
    <n v="11"/>
    <n v="60"/>
    <x v="1"/>
    <n v="1"/>
    <x v="1"/>
    <n v="0.4395"/>
  </r>
  <r>
    <x v="614"/>
    <s v="Jensenport"/>
    <n v="137031"/>
    <n v="640"/>
    <n v="13985"/>
    <n v="34"/>
    <n v="70"/>
    <x v="1"/>
    <n v="1"/>
    <x v="1"/>
    <n v="0.4395"/>
  </r>
  <r>
    <x v="615"/>
    <s v="North Lisa"/>
    <n v="90332"/>
    <n v="779"/>
    <n v="7374"/>
    <n v="29"/>
    <n v="90"/>
    <x v="1"/>
    <n v="1"/>
    <x v="3"/>
    <n v="0.4395"/>
  </r>
  <r>
    <x v="616"/>
    <s v="Hallbury"/>
    <n v="75830"/>
    <n v="447"/>
    <n v="41431"/>
    <n v="16"/>
    <n v="40"/>
    <x v="0"/>
    <n v="0"/>
    <x v="0"/>
    <n v="0.4395"/>
  </r>
  <r>
    <x v="617"/>
    <s v="Kristinamouth"/>
    <n v="70001"/>
    <n v="764"/>
    <n v="32949"/>
    <n v="1"/>
    <n v="55"/>
    <x v="0"/>
    <n v="0"/>
    <x v="3"/>
    <n v="0.4395"/>
  </r>
  <r>
    <x v="618"/>
    <s v="West Katrina"/>
    <n v="137549"/>
    <n v="430"/>
    <n v="34288"/>
    <n v="6"/>
    <n v="50"/>
    <x v="0"/>
    <n v="0"/>
    <x v="0"/>
    <n v="0.4395"/>
  </r>
  <r>
    <x v="619"/>
    <s v="Port Kevinmouth"/>
    <n v="134247"/>
    <n v="710"/>
    <n v="39701"/>
    <n v="26"/>
    <n v="75"/>
    <x v="1"/>
    <n v="1"/>
    <x v="1"/>
    <n v="0.4395"/>
  </r>
  <r>
    <x v="620"/>
    <s v="Reyesmouth"/>
    <n v="144206"/>
    <n v="513"/>
    <n v="46485"/>
    <n v="37"/>
    <n v="50"/>
    <x v="0"/>
    <n v="0"/>
    <x v="2"/>
    <n v="0.4395"/>
  </r>
  <r>
    <x v="621"/>
    <s v="Amybury"/>
    <n v="59831"/>
    <n v="477"/>
    <n v="44424"/>
    <n v="4"/>
    <n v="25"/>
    <x v="0"/>
    <n v="0"/>
    <x v="2"/>
    <n v="0.4395"/>
  </r>
  <r>
    <x v="622"/>
    <s v="New Caitlinmouth"/>
    <n v="59219"/>
    <n v="399"/>
    <n v="30177"/>
    <n v="11"/>
    <n v="35"/>
    <x v="0"/>
    <n v="0"/>
    <x v="0"/>
    <n v="0.4395"/>
  </r>
  <r>
    <x v="623"/>
    <s v="Murphyton"/>
    <n v="33101"/>
    <n v="392"/>
    <n v="15261"/>
    <n v="8"/>
    <n v="20"/>
    <x v="0"/>
    <n v="0"/>
    <x v="0"/>
    <n v="0.4395"/>
  </r>
  <r>
    <x v="624"/>
    <s v="Port Dwayneberg"/>
    <n v="116511"/>
    <n v="763"/>
    <n v="35816"/>
    <n v="18"/>
    <n v="85"/>
    <x v="1"/>
    <n v="1"/>
    <x v="3"/>
    <n v="0.4395"/>
  </r>
  <r>
    <x v="625"/>
    <s v="Kevinport"/>
    <n v="55313"/>
    <n v="745"/>
    <n v="48041"/>
    <n v="22"/>
    <n v="70"/>
    <x v="1"/>
    <n v="1"/>
    <x v="1"/>
    <n v="0.4395"/>
  </r>
  <r>
    <x v="626"/>
    <s v="Port Kelly"/>
    <n v="82227"/>
    <n v="678"/>
    <n v="36971"/>
    <n v="3"/>
    <n v="55"/>
    <x v="0"/>
    <n v="0"/>
    <x v="1"/>
    <n v="0.4395"/>
  </r>
  <r>
    <x v="627"/>
    <s v="Port Juliantown"/>
    <n v="73025"/>
    <n v="540"/>
    <n v="29292"/>
    <n v="37"/>
    <n v="35"/>
    <x v="0"/>
    <n v="0"/>
    <x v="2"/>
    <n v="0.4395"/>
  </r>
  <r>
    <x v="628"/>
    <s v="Grahamborough"/>
    <n v="66517"/>
    <n v="477"/>
    <n v="32121"/>
    <n v="8"/>
    <n v="30"/>
    <x v="0"/>
    <n v="0"/>
    <x v="2"/>
    <n v="0.4395"/>
  </r>
  <r>
    <x v="629"/>
    <s v="Mooreberg"/>
    <n v="143292"/>
    <n v="437"/>
    <n v="1760"/>
    <n v="4"/>
    <n v="50"/>
    <x v="0"/>
    <n v="0"/>
    <x v="0"/>
    <n v="0.4395"/>
  </r>
  <r>
    <x v="630"/>
    <s v="Proctorberg"/>
    <n v="39099"/>
    <n v="386"/>
    <n v="9992"/>
    <n v="26"/>
    <n v="30"/>
    <x v="0"/>
    <n v="0"/>
    <x v="0"/>
    <n v="0.4395"/>
  </r>
  <r>
    <x v="631"/>
    <s v="Hansonmouth"/>
    <n v="131361"/>
    <n v="821"/>
    <n v="28795"/>
    <n v="35"/>
    <n v="95"/>
    <x v="1"/>
    <n v="1"/>
    <x v="3"/>
    <n v="0.4395"/>
  </r>
  <r>
    <x v="632"/>
    <s v="Jacobsshire"/>
    <n v="66585"/>
    <n v="810"/>
    <n v="48901"/>
    <n v="15"/>
    <n v="75"/>
    <x v="1"/>
    <n v="1"/>
    <x v="3"/>
    <n v="0.4395"/>
  </r>
  <r>
    <x v="633"/>
    <s v="Arthurton"/>
    <n v="76025"/>
    <n v="794"/>
    <n v="47195"/>
    <n v="23"/>
    <n v="75"/>
    <x v="1"/>
    <n v="1"/>
    <x v="3"/>
    <n v="0.4395"/>
  </r>
  <r>
    <x v="634"/>
    <s v="Lake Jessica"/>
    <n v="114080"/>
    <n v="586"/>
    <n v="31470"/>
    <n v="33"/>
    <n v="65"/>
    <x v="1"/>
    <n v="1"/>
    <x v="2"/>
    <n v="0.4395"/>
  </r>
  <r>
    <x v="635"/>
    <s v="Mccoyland"/>
    <n v="96768"/>
    <n v="619"/>
    <n v="41176"/>
    <n v="3"/>
    <n v="45"/>
    <x v="0"/>
    <n v="0"/>
    <x v="1"/>
    <n v="0.4395"/>
  </r>
  <r>
    <x v="636"/>
    <s v="Huntfort"/>
    <n v="82386"/>
    <n v="639"/>
    <n v="28591"/>
    <n v="22"/>
    <n v="60"/>
    <x v="1"/>
    <n v="1"/>
    <x v="1"/>
    <n v="0.4395"/>
  </r>
  <r>
    <x v="637"/>
    <s v="Bryanfort"/>
    <n v="119065"/>
    <n v="473"/>
    <n v="38542"/>
    <n v="3"/>
    <n v="40"/>
    <x v="0"/>
    <n v="0"/>
    <x v="2"/>
    <n v="0.4395"/>
  </r>
  <r>
    <x v="638"/>
    <s v="West Toddberg"/>
    <n v="140580"/>
    <n v="817"/>
    <n v="6037"/>
    <n v="17"/>
    <n v="100"/>
    <x v="1"/>
    <n v="1"/>
    <x v="3"/>
    <n v="0.4395"/>
  </r>
  <r>
    <x v="639"/>
    <s v="Alexisville"/>
    <n v="100282"/>
    <n v="478"/>
    <n v="39782"/>
    <n v="9"/>
    <n v="45"/>
    <x v="0"/>
    <n v="0"/>
    <x v="2"/>
    <n v="0.4395"/>
  </r>
  <r>
    <x v="640"/>
    <s v="South Henry"/>
    <n v="73404"/>
    <n v="840"/>
    <n v="3168"/>
    <n v="21"/>
    <n v="90"/>
    <x v="1"/>
    <n v="1"/>
    <x v="3"/>
    <n v="0.4395"/>
  </r>
  <r>
    <x v="641"/>
    <s v="Mullinschester"/>
    <n v="33617"/>
    <n v="692"/>
    <n v="16594"/>
    <n v="28"/>
    <n v="50"/>
    <x v="0"/>
    <n v="0"/>
    <x v="1"/>
    <n v="0.4395"/>
  </r>
  <r>
    <x v="642"/>
    <s v="Brianview"/>
    <n v="45118"/>
    <n v="418"/>
    <n v="4442"/>
    <n v="10"/>
    <n v="40"/>
    <x v="0"/>
    <n v="0"/>
    <x v="0"/>
    <n v="0.4395"/>
  </r>
  <r>
    <x v="643"/>
    <s v="South Frances"/>
    <n v="144955"/>
    <n v="699"/>
    <n v="32102"/>
    <n v="16"/>
    <n v="80"/>
    <x v="1"/>
    <n v="1"/>
    <x v="1"/>
    <n v="0.4395"/>
  </r>
  <r>
    <x v="644"/>
    <s v="Reyesmouth"/>
    <n v="64237"/>
    <n v="842"/>
    <n v="45752"/>
    <n v="2"/>
    <n v="65"/>
    <x v="1"/>
    <n v="1"/>
    <x v="3"/>
    <n v="0.4395"/>
  </r>
  <r>
    <x v="645"/>
    <s v="Bishopview"/>
    <n v="53405"/>
    <n v="643"/>
    <n v="18716"/>
    <n v="17"/>
    <n v="55"/>
    <x v="0"/>
    <n v="0"/>
    <x v="1"/>
    <n v="0.4395"/>
  </r>
  <r>
    <x v="646"/>
    <s v="Mejiabury"/>
    <n v="106099"/>
    <n v="499"/>
    <n v="35075"/>
    <n v="21"/>
    <n v="50"/>
    <x v="0"/>
    <n v="0"/>
    <x v="2"/>
    <n v="0.4395"/>
  </r>
  <r>
    <x v="647"/>
    <s v="Lake Alanland"/>
    <n v="64795"/>
    <n v="312"/>
    <n v="27951"/>
    <n v="6"/>
    <n v="30"/>
    <x v="0"/>
    <n v="0"/>
    <x v="0"/>
    <n v="0.4395"/>
  </r>
  <r>
    <x v="648"/>
    <s v="Johnathanton"/>
    <n v="35014"/>
    <n v="324"/>
    <n v="41592"/>
    <n v="5"/>
    <n v="20"/>
    <x v="0"/>
    <n v="0"/>
    <x v="0"/>
    <n v="0.4395"/>
  </r>
  <r>
    <x v="649"/>
    <s v="New Danielle"/>
    <n v="44208"/>
    <n v="422"/>
    <n v="6661"/>
    <n v="38"/>
    <n v="35"/>
    <x v="0"/>
    <n v="0"/>
    <x v="0"/>
    <n v="0.4395"/>
  </r>
  <r>
    <x v="650"/>
    <s v="North Heather"/>
    <n v="108193"/>
    <n v="559"/>
    <n v="20304"/>
    <n v="29"/>
    <n v="55"/>
    <x v="0"/>
    <n v="0"/>
    <x v="2"/>
    <n v="0.4395"/>
  </r>
  <r>
    <x v="651"/>
    <s v="Kaylamouth"/>
    <n v="86959"/>
    <n v="563"/>
    <n v="11614"/>
    <n v="4"/>
    <n v="40"/>
    <x v="0"/>
    <n v="0"/>
    <x v="2"/>
    <n v="0.4395"/>
  </r>
  <r>
    <x v="652"/>
    <s v="West Stephanieview"/>
    <n v="75309"/>
    <n v="482"/>
    <n v="29873"/>
    <n v="4"/>
    <n v="35"/>
    <x v="0"/>
    <n v="0"/>
    <x v="2"/>
    <n v="0.4395"/>
  </r>
  <r>
    <x v="653"/>
    <s v="Rodriguezside"/>
    <n v="125491"/>
    <n v="741"/>
    <n v="15312"/>
    <n v="39"/>
    <n v="90"/>
    <x v="1"/>
    <n v="1"/>
    <x v="1"/>
    <n v="0.4395"/>
  </r>
  <r>
    <x v="654"/>
    <s v="North Charlesshire"/>
    <n v="133078"/>
    <n v="556"/>
    <n v="30221"/>
    <n v="1"/>
    <n v="40"/>
    <x v="0"/>
    <n v="0"/>
    <x v="2"/>
    <n v="0.4395"/>
  </r>
  <r>
    <x v="655"/>
    <s v="Lake Peterberg"/>
    <n v="71114"/>
    <n v="637"/>
    <n v="26646"/>
    <n v="36"/>
    <n v="55"/>
    <x v="0"/>
    <n v="0"/>
    <x v="1"/>
    <n v="0.4395"/>
  </r>
  <r>
    <x v="656"/>
    <s v="Grahamland"/>
    <n v="87199"/>
    <n v="531"/>
    <n v="1216"/>
    <n v="24"/>
    <n v="55"/>
    <x v="0"/>
    <n v="0"/>
    <x v="2"/>
    <n v="0.4395"/>
  </r>
  <r>
    <x v="657"/>
    <s v="Mathewport"/>
    <n v="109457"/>
    <n v="710"/>
    <n v="4617"/>
    <n v="40"/>
    <n v="85"/>
    <x v="1"/>
    <n v="1"/>
    <x v="1"/>
    <n v="0.4395"/>
  </r>
  <r>
    <x v="658"/>
    <s v="Christophermouth"/>
    <n v="97033"/>
    <n v="596"/>
    <n v="43453"/>
    <n v="12"/>
    <n v="55"/>
    <x v="0"/>
    <n v="0"/>
    <x v="2"/>
    <n v="0.4395"/>
  </r>
  <r>
    <x v="659"/>
    <s v="West Heather"/>
    <n v="45157"/>
    <n v="409"/>
    <n v="42328"/>
    <n v="22"/>
    <n v="25"/>
    <x v="0"/>
    <n v="0"/>
    <x v="0"/>
    <n v="0.4395"/>
  </r>
  <r>
    <x v="660"/>
    <s v="East Anthonyshire"/>
    <n v="80488"/>
    <n v="544"/>
    <n v="33062"/>
    <n v="24"/>
    <n v="40"/>
    <x v="0"/>
    <n v="0"/>
    <x v="2"/>
    <n v="0.4395"/>
  </r>
  <r>
    <x v="661"/>
    <s v="Levytown"/>
    <n v="147899"/>
    <n v="337"/>
    <n v="23235"/>
    <n v="3"/>
    <n v="45"/>
    <x v="0"/>
    <n v="0"/>
    <x v="0"/>
    <n v="0.4395"/>
  </r>
  <r>
    <x v="662"/>
    <s v="Port Desiree"/>
    <n v="105574"/>
    <n v="835"/>
    <n v="31039"/>
    <n v="34"/>
    <n v="90"/>
    <x v="1"/>
    <n v="1"/>
    <x v="3"/>
    <n v="0.4395"/>
  </r>
  <r>
    <x v="663"/>
    <s v="Lake Donaldtown"/>
    <n v="54914"/>
    <n v="782"/>
    <n v="41525"/>
    <n v="2"/>
    <n v="60"/>
    <x v="1"/>
    <n v="1"/>
    <x v="3"/>
    <n v="0.4395"/>
  </r>
  <r>
    <x v="664"/>
    <s v="West Loriville"/>
    <n v="63386"/>
    <n v="767"/>
    <n v="41057"/>
    <n v="10"/>
    <n v="70"/>
    <x v="1"/>
    <n v="1"/>
    <x v="3"/>
    <n v="0.4395"/>
  </r>
  <r>
    <x v="665"/>
    <s v="South Brookebury"/>
    <n v="35817"/>
    <n v="364"/>
    <n v="14280"/>
    <n v="27"/>
    <n v="30"/>
    <x v="0"/>
    <n v="0"/>
    <x v="0"/>
    <n v="0.4395"/>
  </r>
  <r>
    <x v="666"/>
    <s v="Nguyenshire"/>
    <n v="122901"/>
    <n v="440"/>
    <n v="22075"/>
    <n v="13"/>
    <n v="55"/>
    <x v="0"/>
    <n v="0"/>
    <x v="0"/>
    <n v="0.4395"/>
  </r>
  <r>
    <x v="667"/>
    <s v="West Donaldchester"/>
    <n v="87154"/>
    <n v="472"/>
    <n v="46632"/>
    <n v="23"/>
    <n v="40"/>
    <x v="0"/>
    <n v="0"/>
    <x v="2"/>
    <n v="0.4395"/>
  </r>
  <r>
    <x v="668"/>
    <s v="East Craigfurt"/>
    <n v="30221"/>
    <n v="461"/>
    <n v="2024"/>
    <n v="31"/>
    <n v="40"/>
    <x v="0"/>
    <n v="0"/>
    <x v="2"/>
    <n v="0.4395"/>
  </r>
  <r>
    <x v="669"/>
    <s v="Robertfort"/>
    <n v="98146"/>
    <n v="429"/>
    <n v="14510"/>
    <n v="9"/>
    <n v="45"/>
    <x v="0"/>
    <n v="0"/>
    <x v="0"/>
    <n v="0.4395"/>
  </r>
  <r>
    <x v="670"/>
    <s v="New Heather"/>
    <n v="135710"/>
    <n v="484"/>
    <n v="48002"/>
    <n v="31"/>
    <n v="50"/>
    <x v="0"/>
    <n v="0"/>
    <x v="2"/>
    <n v="0.4395"/>
  </r>
  <r>
    <x v="671"/>
    <s v="Michaeltown"/>
    <n v="100575"/>
    <n v="541"/>
    <n v="13576"/>
    <n v="7"/>
    <n v="50"/>
    <x v="0"/>
    <n v="0"/>
    <x v="2"/>
    <n v="0.4395"/>
  </r>
  <r>
    <x v="672"/>
    <s v="South Kaylee"/>
    <n v="120027"/>
    <n v="513"/>
    <n v="19115"/>
    <n v="3"/>
    <n v="45"/>
    <x v="0"/>
    <n v="0"/>
    <x v="2"/>
    <n v="0.4395"/>
  </r>
  <r>
    <x v="673"/>
    <s v="Jimenezburgh"/>
    <n v="124297"/>
    <n v="344"/>
    <n v="4540"/>
    <n v="23"/>
    <n v="60"/>
    <x v="1"/>
    <n v="1"/>
    <x v="0"/>
    <n v="0.4395"/>
  </r>
  <r>
    <x v="674"/>
    <s v="Williamston"/>
    <n v="127248"/>
    <n v="850"/>
    <n v="12526"/>
    <n v="10"/>
    <n v="100"/>
    <x v="1"/>
    <n v="1"/>
    <x v="3"/>
    <n v="0.4395"/>
  </r>
  <r>
    <x v="675"/>
    <s v="Lake Sean"/>
    <n v="126605"/>
    <n v="633"/>
    <n v="28463"/>
    <n v="12"/>
    <n v="70"/>
    <x v="1"/>
    <n v="1"/>
    <x v="1"/>
    <n v="0.4395"/>
  </r>
  <r>
    <x v="676"/>
    <s v="West Jeremybury"/>
    <n v="117900"/>
    <n v="722"/>
    <n v="14104"/>
    <n v="24"/>
    <n v="80"/>
    <x v="1"/>
    <n v="1"/>
    <x v="1"/>
    <n v="0.4395"/>
  </r>
  <r>
    <x v="677"/>
    <s v="South Dustinmouth"/>
    <n v="55825"/>
    <n v="482"/>
    <n v="26384"/>
    <n v="23"/>
    <n v="35"/>
    <x v="0"/>
    <n v="0"/>
    <x v="2"/>
    <n v="0.4395"/>
  </r>
  <r>
    <x v="678"/>
    <s v="Jamesberg"/>
    <n v="77739"/>
    <n v="332"/>
    <n v="46364"/>
    <n v="36"/>
    <n v="40"/>
    <x v="0"/>
    <n v="0"/>
    <x v="0"/>
    <n v="0.4395"/>
  </r>
  <r>
    <x v="679"/>
    <s v="Barnesmouth"/>
    <n v="86531"/>
    <n v="525"/>
    <n v="20343"/>
    <n v="38"/>
    <n v="50"/>
    <x v="0"/>
    <n v="0"/>
    <x v="2"/>
    <n v="0.4395"/>
  </r>
  <r>
    <x v="680"/>
    <s v="New Tara"/>
    <n v="39171"/>
    <n v="535"/>
    <n v="6667"/>
    <n v="26"/>
    <n v="35"/>
    <x v="0"/>
    <n v="0"/>
    <x v="2"/>
    <n v="0.4395"/>
  </r>
  <r>
    <x v="681"/>
    <s v="Hoodview"/>
    <n v="117062"/>
    <n v="314"/>
    <n v="48842"/>
    <n v="27"/>
    <n v="45"/>
    <x v="0"/>
    <n v="0"/>
    <x v="0"/>
    <n v="0.4395"/>
  </r>
  <r>
    <x v="682"/>
    <s v="New Sophia"/>
    <n v="73279"/>
    <n v="305"/>
    <n v="28379"/>
    <n v="2"/>
    <n v="30"/>
    <x v="0"/>
    <n v="0"/>
    <x v="0"/>
    <n v="0.4395"/>
  </r>
  <r>
    <x v="683"/>
    <s v="South Amandafort"/>
    <n v="111678"/>
    <n v="400"/>
    <n v="30651"/>
    <n v="31"/>
    <n v="50"/>
    <x v="0"/>
    <n v="0"/>
    <x v="0"/>
    <n v="0.4395"/>
  </r>
  <r>
    <x v="684"/>
    <s v="Dodsonberg"/>
    <n v="71145"/>
    <n v="667"/>
    <n v="20384"/>
    <n v="15"/>
    <n v="55"/>
    <x v="0"/>
    <n v="0"/>
    <x v="1"/>
    <n v="0.4395"/>
  </r>
  <r>
    <x v="685"/>
    <s v="Evanmouth"/>
    <n v="116951"/>
    <n v="324"/>
    <n v="30808"/>
    <n v="29"/>
    <n v="50"/>
    <x v="0"/>
    <n v="0"/>
    <x v="0"/>
    <n v="0.4395"/>
  </r>
  <r>
    <x v="686"/>
    <s v="Courtneytown"/>
    <n v="141151"/>
    <n v="372"/>
    <n v="26223"/>
    <n v="21"/>
    <n v="55"/>
    <x v="0"/>
    <n v="0"/>
    <x v="0"/>
    <n v="0.4395"/>
  </r>
  <r>
    <x v="687"/>
    <s v="Port Gail"/>
    <n v="46334"/>
    <n v="643"/>
    <n v="49218"/>
    <n v="3"/>
    <n v="30"/>
    <x v="0"/>
    <n v="0"/>
    <x v="1"/>
    <n v="0.4395"/>
  </r>
  <r>
    <x v="688"/>
    <s v="North Patrickmouth"/>
    <n v="124339"/>
    <n v="341"/>
    <n v="24958"/>
    <n v="23"/>
    <n v="55"/>
    <x v="0"/>
    <n v="0"/>
    <x v="0"/>
    <n v="0.4395"/>
  </r>
  <r>
    <x v="689"/>
    <s v="East Tina"/>
    <n v="147970"/>
    <n v="544"/>
    <n v="36365"/>
    <n v="7"/>
    <n v="50"/>
    <x v="0"/>
    <n v="0"/>
    <x v="2"/>
    <n v="0.4395"/>
  </r>
  <r>
    <x v="690"/>
    <s v="Port Julie"/>
    <n v="69363"/>
    <n v="530"/>
    <n v="22001"/>
    <n v="22"/>
    <n v="40"/>
    <x v="0"/>
    <n v="0"/>
    <x v="2"/>
    <n v="0.4395"/>
  </r>
  <r>
    <x v="691"/>
    <s v="North Nathanmouth"/>
    <n v="96469"/>
    <n v="797"/>
    <n v="33863"/>
    <n v="33"/>
    <n v="80"/>
    <x v="1"/>
    <n v="1"/>
    <x v="3"/>
    <n v="0.4395"/>
  </r>
  <r>
    <x v="692"/>
    <s v="Shannonstad"/>
    <n v="70538"/>
    <n v="367"/>
    <n v="13343"/>
    <n v="29"/>
    <n v="45"/>
    <x v="0"/>
    <n v="0"/>
    <x v="0"/>
    <n v="0.4395"/>
  </r>
  <r>
    <x v="693"/>
    <s v="North Fredville"/>
    <n v="117410"/>
    <n v="451"/>
    <n v="33527"/>
    <n v="9"/>
    <n v="45"/>
    <x v="0"/>
    <n v="0"/>
    <x v="2"/>
    <n v="0.4395"/>
  </r>
  <r>
    <x v="694"/>
    <s v="Robertside"/>
    <n v="83528"/>
    <n v="435"/>
    <n v="32057"/>
    <n v="22"/>
    <n v="45"/>
    <x v="0"/>
    <n v="0"/>
    <x v="0"/>
    <n v="0.4395"/>
  </r>
  <r>
    <x v="695"/>
    <s v="North Andrew"/>
    <n v="72753"/>
    <n v="537"/>
    <n v="35053"/>
    <n v="21"/>
    <n v="35"/>
    <x v="0"/>
    <n v="0"/>
    <x v="2"/>
    <n v="0.4395"/>
  </r>
  <r>
    <x v="696"/>
    <s v="Toddhaven"/>
    <n v="82743"/>
    <n v="755"/>
    <n v="31015"/>
    <n v="19"/>
    <n v="80"/>
    <x v="1"/>
    <n v="1"/>
    <x v="3"/>
    <n v="0.4395"/>
  </r>
  <r>
    <x v="697"/>
    <s v="Jeremystad"/>
    <n v="121384"/>
    <n v="595"/>
    <n v="4101"/>
    <n v="9"/>
    <n v="70"/>
    <x v="1"/>
    <n v="1"/>
    <x v="2"/>
    <n v="0.4395"/>
  </r>
  <r>
    <x v="698"/>
    <s v="Lake Amanda"/>
    <n v="68752"/>
    <n v="486"/>
    <n v="12492"/>
    <n v="9"/>
    <n v="40"/>
    <x v="0"/>
    <n v="0"/>
    <x v="2"/>
    <n v="0.4395"/>
  </r>
  <r>
    <x v="699"/>
    <s v="South Jorge"/>
    <n v="102667"/>
    <n v="488"/>
    <n v="14445"/>
    <n v="35"/>
    <n v="55"/>
    <x v="0"/>
    <n v="0"/>
    <x v="2"/>
    <n v="0.4395"/>
  </r>
  <r>
    <x v="700"/>
    <s v="West Shane"/>
    <n v="46683"/>
    <n v="466"/>
    <n v="35972"/>
    <n v="19"/>
    <n v="25"/>
    <x v="0"/>
    <n v="0"/>
    <x v="2"/>
    <n v="0.4395"/>
  </r>
  <r>
    <x v="701"/>
    <s v="South Sarah"/>
    <n v="55144"/>
    <n v="459"/>
    <n v="1281"/>
    <n v="34"/>
    <n v="50"/>
    <x v="0"/>
    <n v="0"/>
    <x v="2"/>
    <n v="0.4395"/>
  </r>
  <r>
    <x v="702"/>
    <s v="Kempshire"/>
    <n v="85108"/>
    <n v="450"/>
    <n v="38043"/>
    <n v="28"/>
    <n v="40"/>
    <x v="0"/>
    <n v="0"/>
    <x v="0"/>
    <n v="0.4395"/>
  </r>
  <r>
    <x v="703"/>
    <s v="South Christinabury"/>
    <n v="117153"/>
    <n v="756"/>
    <n v="24422"/>
    <n v="5"/>
    <n v="85"/>
    <x v="1"/>
    <n v="1"/>
    <x v="3"/>
    <n v="0.4395"/>
  </r>
  <r>
    <x v="704"/>
    <s v="Port Shari"/>
    <n v="79695"/>
    <n v="584"/>
    <n v="13826"/>
    <n v="1"/>
    <n v="50"/>
    <x v="0"/>
    <n v="0"/>
    <x v="2"/>
    <n v="0.4395"/>
  </r>
  <r>
    <x v="705"/>
    <s v="New Prestonfort"/>
    <n v="118777"/>
    <n v="625"/>
    <n v="40529"/>
    <n v="38"/>
    <n v="65"/>
    <x v="1"/>
    <n v="1"/>
    <x v="1"/>
    <n v="0.4395"/>
  </r>
  <r>
    <x v="706"/>
    <s v="Hernandezchester"/>
    <n v="128059"/>
    <n v="678"/>
    <n v="26304"/>
    <n v="23"/>
    <n v="80"/>
    <x v="1"/>
    <n v="1"/>
    <x v="1"/>
    <n v="0.4395"/>
  </r>
  <r>
    <x v="707"/>
    <s v="Sawyerland"/>
    <n v="148332"/>
    <n v="520"/>
    <n v="48700"/>
    <n v="28"/>
    <n v="50"/>
    <x v="0"/>
    <n v="0"/>
    <x v="2"/>
    <n v="0.4395"/>
  </r>
  <r>
    <x v="708"/>
    <s v="Port Jessica"/>
    <n v="52810"/>
    <n v="734"/>
    <n v="48749"/>
    <n v="26"/>
    <n v="60"/>
    <x v="1"/>
    <n v="1"/>
    <x v="1"/>
    <n v="0.4395"/>
  </r>
  <r>
    <x v="709"/>
    <s v="West Thomas"/>
    <n v="110676"/>
    <n v="837"/>
    <n v="22981"/>
    <n v="4"/>
    <n v="85"/>
    <x v="1"/>
    <n v="1"/>
    <x v="3"/>
    <n v="0.4395"/>
  </r>
  <r>
    <x v="710"/>
    <s v="South Danielleview"/>
    <n v="104593"/>
    <n v="724"/>
    <n v="12461"/>
    <n v="35"/>
    <n v="80"/>
    <x v="1"/>
    <n v="1"/>
    <x v="1"/>
    <n v="0.4395"/>
  </r>
  <r>
    <x v="711"/>
    <s v="East Marisa"/>
    <n v="69446"/>
    <n v="596"/>
    <n v="37298"/>
    <n v="31"/>
    <n v="50"/>
    <x v="0"/>
    <n v="0"/>
    <x v="2"/>
    <n v="0.4395"/>
  </r>
  <r>
    <x v="712"/>
    <s v="Troymouth"/>
    <n v="83225"/>
    <n v="529"/>
    <n v="2758"/>
    <n v="0"/>
    <n v="40"/>
    <x v="0"/>
    <n v="0"/>
    <x v="2"/>
    <n v="0.4395"/>
  </r>
  <r>
    <x v="713"/>
    <s v="Martinezport"/>
    <n v="101819"/>
    <n v="727"/>
    <n v="12755"/>
    <n v="31"/>
    <n v="80"/>
    <x v="1"/>
    <n v="1"/>
    <x v="1"/>
    <n v="0.4395"/>
  </r>
  <r>
    <x v="714"/>
    <s v="Trevorland"/>
    <n v="139278"/>
    <n v="670"/>
    <n v="39080"/>
    <n v="30"/>
    <n v="75"/>
    <x v="1"/>
    <n v="1"/>
    <x v="1"/>
    <n v="0.4395"/>
  </r>
  <r>
    <x v="715"/>
    <s v="Mccannville"/>
    <n v="30053"/>
    <n v="682"/>
    <n v="34588"/>
    <n v="36"/>
    <n v="50"/>
    <x v="0"/>
    <n v="0"/>
    <x v="1"/>
    <n v="0.4395"/>
  </r>
  <r>
    <x v="716"/>
    <s v="West Steven"/>
    <n v="69829"/>
    <n v="438"/>
    <n v="24421"/>
    <n v="10"/>
    <n v="40"/>
    <x v="0"/>
    <n v="0"/>
    <x v="0"/>
    <n v="0.4395"/>
  </r>
  <r>
    <x v="717"/>
    <s v="Brandonport"/>
    <n v="67606"/>
    <n v="842"/>
    <n v="42873"/>
    <n v="4"/>
    <n v="65"/>
    <x v="1"/>
    <n v="1"/>
    <x v="3"/>
    <n v="0.4395"/>
  </r>
  <r>
    <x v="718"/>
    <s v="New Karenside"/>
    <n v="57549"/>
    <n v="630"/>
    <n v="21723"/>
    <n v="19"/>
    <n v="55"/>
    <x v="0"/>
    <n v="0"/>
    <x v="1"/>
    <n v="0.4395"/>
  </r>
  <r>
    <x v="719"/>
    <s v="Madelinetown"/>
    <n v="86346"/>
    <n v="440"/>
    <n v="34958"/>
    <n v="18"/>
    <n v="40"/>
    <x v="0"/>
    <n v="0"/>
    <x v="0"/>
    <n v="0.4395"/>
  </r>
  <r>
    <x v="720"/>
    <s v="North Jeffery"/>
    <n v="132990"/>
    <n v="815"/>
    <n v="15490"/>
    <n v="12"/>
    <n v="95"/>
    <x v="1"/>
    <n v="1"/>
    <x v="3"/>
    <n v="0.4395"/>
  </r>
  <r>
    <x v="721"/>
    <s v="South Stevenland"/>
    <n v="106019"/>
    <n v="419"/>
    <n v="9600"/>
    <n v="1"/>
    <n v="45"/>
    <x v="0"/>
    <n v="0"/>
    <x v="0"/>
    <n v="0.4395"/>
  </r>
  <r>
    <x v="722"/>
    <s v="Prestonhaven"/>
    <n v="109516"/>
    <n v="650"/>
    <n v="12285"/>
    <n v="19"/>
    <n v="70"/>
    <x v="1"/>
    <n v="1"/>
    <x v="1"/>
    <n v="0.4395"/>
  </r>
  <r>
    <x v="723"/>
    <s v="Lake Jeremy"/>
    <n v="115813"/>
    <n v="428"/>
    <n v="14752"/>
    <n v="8"/>
    <n v="50"/>
    <x v="0"/>
    <n v="0"/>
    <x v="0"/>
    <n v="0.4395"/>
  </r>
  <r>
    <x v="724"/>
    <s v="Port Toddchester"/>
    <n v="72237"/>
    <n v="343"/>
    <n v="13868"/>
    <n v="6"/>
    <n v="40"/>
    <x v="0"/>
    <n v="0"/>
    <x v="0"/>
    <n v="0.4395"/>
  </r>
  <r>
    <x v="725"/>
    <s v="Wilsonview"/>
    <n v="90946"/>
    <n v="344"/>
    <n v="5341"/>
    <n v="19"/>
    <n v="55"/>
    <x v="0"/>
    <n v="0"/>
    <x v="0"/>
    <n v="0.4395"/>
  </r>
  <r>
    <x v="726"/>
    <s v="New Rachel"/>
    <n v="87905"/>
    <n v="489"/>
    <n v="44948"/>
    <n v="22"/>
    <n v="40"/>
    <x v="0"/>
    <n v="0"/>
    <x v="2"/>
    <n v="0.4395"/>
  </r>
  <r>
    <x v="727"/>
    <s v="Stacystad"/>
    <n v="87954"/>
    <n v="660"/>
    <n v="11522"/>
    <n v="32"/>
    <n v="65"/>
    <x v="1"/>
    <n v="1"/>
    <x v="1"/>
    <n v="0.4395"/>
  </r>
  <r>
    <x v="728"/>
    <s v="North Loritown"/>
    <n v="118555"/>
    <n v="841"/>
    <n v="15221"/>
    <n v="12"/>
    <n v="95"/>
    <x v="1"/>
    <n v="1"/>
    <x v="3"/>
    <n v="0.4395"/>
  </r>
  <r>
    <x v="729"/>
    <s v="Lake Coreyborough"/>
    <n v="58010"/>
    <n v="816"/>
    <n v="47383"/>
    <n v="30"/>
    <n v="75"/>
    <x v="1"/>
    <n v="1"/>
    <x v="3"/>
    <n v="0.4395"/>
  </r>
  <r>
    <x v="730"/>
    <s v="East Maryfurt"/>
    <n v="97000"/>
    <n v="734"/>
    <n v="15042"/>
    <n v="32"/>
    <n v="75"/>
    <x v="1"/>
    <n v="1"/>
    <x v="1"/>
    <n v="0.4395"/>
  </r>
  <r>
    <x v="731"/>
    <s v="South Danielberg"/>
    <n v="92021"/>
    <n v="807"/>
    <n v="24674"/>
    <n v="18"/>
    <n v="85"/>
    <x v="1"/>
    <n v="1"/>
    <x v="3"/>
    <n v="0.4395"/>
  </r>
  <r>
    <x v="732"/>
    <s v="South Justinport"/>
    <n v="134036"/>
    <n v="754"/>
    <n v="15802"/>
    <n v="35"/>
    <n v="90"/>
    <x v="1"/>
    <n v="1"/>
    <x v="3"/>
    <n v="0.4395"/>
  </r>
  <r>
    <x v="733"/>
    <s v="Port Leahstad"/>
    <n v="148119"/>
    <n v="483"/>
    <n v="1837"/>
    <n v="31"/>
    <n v="60"/>
    <x v="1"/>
    <n v="1"/>
    <x v="2"/>
    <n v="0.4395"/>
  </r>
  <r>
    <x v="734"/>
    <s v="North Douglasfurt"/>
    <n v="134336"/>
    <n v="404"/>
    <n v="49590"/>
    <n v="10"/>
    <n v="50"/>
    <x v="0"/>
    <n v="0"/>
    <x v="0"/>
    <n v="0.4395"/>
  </r>
  <r>
    <x v="735"/>
    <s v="Martinezchester"/>
    <n v="126463"/>
    <n v="811"/>
    <n v="19252"/>
    <n v="37"/>
    <n v="95"/>
    <x v="1"/>
    <n v="1"/>
    <x v="3"/>
    <n v="0.4395"/>
  </r>
  <r>
    <x v="736"/>
    <s v="Kellyfurt"/>
    <n v="52241"/>
    <n v="796"/>
    <n v="34516"/>
    <n v="17"/>
    <n v="70"/>
    <x v="1"/>
    <n v="1"/>
    <x v="3"/>
    <n v="0.4395"/>
  </r>
  <r>
    <x v="737"/>
    <s v="Crawfordberg"/>
    <n v="116356"/>
    <n v="330"/>
    <n v="7527"/>
    <n v="3"/>
    <n v="50"/>
    <x v="0"/>
    <n v="0"/>
    <x v="0"/>
    <n v="0.4395"/>
  </r>
  <r>
    <x v="738"/>
    <s v="South Cassandra"/>
    <n v="41114"/>
    <n v="634"/>
    <n v="11009"/>
    <n v="19"/>
    <n v="45"/>
    <x v="0"/>
    <n v="0"/>
    <x v="1"/>
    <n v="0.4395"/>
  </r>
  <r>
    <x v="739"/>
    <s v="Sparksborough"/>
    <n v="67196"/>
    <n v="600"/>
    <n v="44390"/>
    <n v="31"/>
    <n v="50"/>
    <x v="0"/>
    <n v="0"/>
    <x v="2"/>
    <n v="0.4395"/>
  </r>
  <r>
    <x v="740"/>
    <s v="Port Anthonychester"/>
    <n v="97561"/>
    <n v="421"/>
    <n v="26141"/>
    <n v="28"/>
    <n v="45"/>
    <x v="0"/>
    <n v="0"/>
    <x v="0"/>
    <n v="0.4395"/>
  </r>
  <r>
    <x v="741"/>
    <s v="East Angelaport"/>
    <n v="117012"/>
    <n v="468"/>
    <n v="33209"/>
    <n v="27"/>
    <n v="50"/>
    <x v="0"/>
    <n v="0"/>
    <x v="2"/>
    <n v="0.4395"/>
  </r>
  <r>
    <x v="742"/>
    <s v="New Emilyside"/>
    <n v="112960"/>
    <n v="781"/>
    <n v="32189"/>
    <n v="35"/>
    <n v="85"/>
    <x v="1"/>
    <n v="1"/>
    <x v="3"/>
    <n v="0.4395"/>
  </r>
  <r>
    <x v="743"/>
    <s v="Garzafurt"/>
    <n v="111167"/>
    <n v="661"/>
    <n v="19640"/>
    <n v="20"/>
    <n v="70"/>
    <x v="1"/>
    <n v="1"/>
    <x v="1"/>
    <n v="0.4395"/>
  </r>
  <r>
    <x v="744"/>
    <s v="Michaelshire"/>
    <n v="73933"/>
    <n v="327"/>
    <n v="41970"/>
    <n v="21"/>
    <n v="35"/>
    <x v="0"/>
    <n v="0"/>
    <x v="0"/>
    <n v="0.4395"/>
  </r>
  <r>
    <x v="745"/>
    <s v="Bellbury"/>
    <n v="42240"/>
    <n v="553"/>
    <n v="16376"/>
    <n v="19"/>
    <n v="30"/>
    <x v="0"/>
    <n v="0"/>
    <x v="2"/>
    <n v="0.4395"/>
  </r>
  <r>
    <x v="746"/>
    <s v="Dannyburgh"/>
    <n v="137272"/>
    <n v="320"/>
    <n v="36285"/>
    <n v="20"/>
    <n v="50"/>
    <x v="0"/>
    <n v="0"/>
    <x v="0"/>
    <n v="0.4395"/>
  </r>
  <r>
    <x v="747"/>
    <s v="Adamsfort"/>
    <n v="128453"/>
    <n v="322"/>
    <n v="21743"/>
    <n v="24"/>
    <n v="55"/>
    <x v="0"/>
    <n v="0"/>
    <x v="0"/>
    <n v="0.4395"/>
  </r>
  <r>
    <x v="748"/>
    <s v="Garciaborough"/>
    <n v="60784"/>
    <n v="644"/>
    <n v="33553"/>
    <n v="32"/>
    <n v="50"/>
    <x v="0"/>
    <n v="0"/>
    <x v="1"/>
    <n v="0.4395"/>
  </r>
  <r>
    <x v="749"/>
    <s v="Michaelchester"/>
    <n v="118184"/>
    <n v="506"/>
    <n v="33568"/>
    <n v="40"/>
    <n v="50"/>
    <x v="0"/>
    <n v="0"/>
    <x v="2"/>
    <n v="0.4395"/>
  </r>
  <r>
    <x v="750"/>
    <s v="West Joseph"/>
    <n v="70687"/>
    <n v="604"/>
    <n v="38586"/>
    <n v="25"/>
    <n v="50"/>
    <x v="0"/>
    <n v="0"/>
    <x v="1"/>
    <n v="0.4395"/>
  </r>
  <r>
    <x v="751"/>
    <s v="New Matthewland"/>
    <n v="59444"/>
    <n v="843"/>
    <n v="32147"/>
    <n v="27"/>
    <n v="75"/>
    <x v="1"/>
    <n v="1"/>
    <x v="3"/>
    <n v="0.4395"/>
  </r>
  <r>
    <x v="752"/>
    <s v="Williamport"/>
    <n v="135717"/>
    <n v="743"/>
    <n v="44480"/>
    <n v="34"/>
    <n v="85"/>
    <x v="1"/>
    <n v="1"/>
    <x v="1"/>
    <n v="0.4395"/>
  </r>
  <r>
    <x v="753"/>
    <s v="Powersside"/>
    <n v="56100"/>
    <n v="484"/>
    <n v="2219"/>
    <n v="40"/>
    <n v="50"/>
    <x v="0"/>
    <n v="0"/>
    <x v="2"/>
    <n v="0.4395"/>
  </r>
  <r>
    <x v="754"/>
    <s v="Lake Suzanne"/>
    <n v="49313"/>
    <n v="778"/>
    <n v="18559"/>
    <n v="40"/>
    <n v="65"/>
    <x v="1"/>
    <n v="1"/>
    <x v="3"/>
    <n v="0.4395"/>
  </r>
  <r>
    <x v="755"/>
    <s v="Michaelton"/>
    <n v="33201"/>
    <n v="834"/>
    <n v="14149"/>
    <n v="23"/>
    <n v="65"/>
    <x v="1"/>
    <n v="1"/>
    <x v="3"/>
    <n v="0.4395"/>
  </r>
  <r>
    <x v="756"/>
    <s v="Meganchester"/>
    <n v="36057"/>
    <n v="626"/>
    <n v="5222"/>
    <n v="40"/>
    <n v="50"/>
    <x v="0"/>
    <n v="0"/>
    <x v="1"/>
    <n v="0.4395"/>
  </r>
  <r>
    <x v="757"/>
    <s v="West Gloria"/>
    <n v="62092"/>
    <n v="541"/>
    <n v="27598"/>
    <n v="15"/>
    <n v="35"/>
    <x v="0"/>
    <n v="0"/>
    <x v="2"/>
    <n v="0.4395"/>
  </r>
  <r>
    <x v="758"/>
    <s v="Stevenside"/>
    <n v="92277"/>
    <n v="746"/>
    <n v="28657"/>
    <n v="2"/>
    <n v="70"/>
    <x v="1"/>
    <n v="1"/>
    <x v="1"/>
    <n v="0.4395"/>
  </r>
  <r>
    <x v="759"/>
    <s v="Donnaburgh"/>
    <n v="110120"/>
    <n v="343"/>
    <n v="48348"/>
    <n v="31"/>
    <n v="45"/>
    <x v="0"/>
    <n v="0"/>
    <x v="0"/>
    <n v="0.4395"/>
  </r>
  <r>
    <x v="760"/>
    <s v="Carolynland"/>
    <n v="141376"/>
    <n v="716"/>
    <n v="24818"/>
    <n v="5"/>
    <n v="75"/>
    <x v="1"/>
    <n v="1"/>
    <x v="1"/>
    <n v="0.4395"/>
  </r>
  <r>
    <x v="761"/>
    <s v="North Ashley"/>
    <n v="130727"/>
    <n v="812"/>
    <n v="8906"/>
    <n v="33"/>
    <n v="100"/>
    <x v="1"/>
    <n v="1"/>
    <x v="3"/>
    <n v="0.4395"/>
  </r>
  <r>
    <x v="762"/>
    <s v="Tylerland"/>
    <n v="39545"/>
    <n v="543"/>
    <n v="40309"/>
    <n v="7"/>
    <n v="20"/>
    <x v="0"/>
    <n v="0"/>
    <x v="2"/>
    <n v="0.4395"/>
  </r>
  <r>
    <x v="763"/>
    <s v="Shafferbury"/>
    <n v="89692"/>
    <n v="733"/>
    <n v="15287"/>
    <n v="9"/>
    <n v="70"/>
    <x v="1"/>
    <n v="1"/>
    <x v="1"/>
    <n v="0.4395"/>
  </r>
  <r>
    <x v="764"/>
    <s v="Kingshire"/>
    <n v="84321"/>
    <n v="357"/>
    <n v="33136"/>
    <n v="34"/>
    <n v="45"/>
    <x v="0"/>
    <n v="0"/>
    <x v="0"/>
    <n v="0.4395"/>
  </r>
  <r>
    <x v="765"/>
    <s v="Wellsbury"/>
    <n v="146147"/>
    <n v="584"/>
    <n v="10496"/>
    <n v="23"/>
    <n v="75"/>
    <x v="1"/>
    <n v="1"/>
    <x v="2"/>
    <n v="0.4395"/>
  </r>
  <r>
    <x v="766"/>
    <s v="Port Joditon"/>
    <n v="112544"/>
    <n v="545"/>
    <n v="17579"/>
    <n v="35"/>
    <n v="55"/>
    <x v="0"/>
    <n v="0"/>
    <x v="2"/>
    <n v="0.4395"/>
  </r>
  <r>
    <x v="767"/>
    <s v="New Michellemouth"/>
    <n v="105454"/>
    <n v="697"/>
    <n v="1515"/>
    <n v="25"/>
    <n v="85"/>
    <x v="1"/>
    <n v="1"/>
    <x v="1"/>
    <n v="0.4395"/>
  </r>
  <r>
    <x v="768"/>
    <s v="West Jason"/>
    <n v="55485"/>
    <n v="464"/>
    <n v="29760"/>
    <n v="40"/>
    <n v="35"/>
    <x v="0"/>
    <n v="0"/>
    <x v="2"/>
    <n v="0.4395"/>
  </r>
  <r>
    <x v="769"/>
    <s v="West Michellefort"/>
    <n v="124155"/>
    <n v="782"/>
    <n v="49296"/>
    <n v="26"/>
    <n v="85"/>
    <x v="1"/>
    <n v="1"/>
    <x v="3"/>
    <n v="0.4395"/>
  </r>
  <r>
    <x v="770"/>
    <s v="Port Ethanview"/>
    <n v="121272"/>
    <n v="818"/>
    <n v="5349"/>
    <n v="22"/>
    <n v="100"/>
    <x v="1"/>
    <n v="1"/>
    <x v="3"/>
    <n v="0.4395"/>
  </r>
  <r>
    <x v="771"/>
    <s v="Shawntown"/>
    <n v="80328"/>
    <n v="353"/>
    <n v="43033"/>
    <n v="11"/>
    <n v="40"/>
    <x v="0"/>
    <n v="0"/>
    <x v="0"/>
    <n v="0.4395"/>
  </r>
  <r>
    <x v="772"/>
    <s v="Gonzalezport"/>
    <n v="94799"/>
    <n v="621"/>
    <n v="38736"/>
    <n v="5"/>
    <n v="50"/>
    <x v="0"/>
    <n v="0"/>
    <x v="1"/>
    <n v="0.4395"/>
  </r>
  <r>
    <x v="773"/>
    <s v="Port Brooke"/>
    <n v="82383"/>
    <n v="720"/>
    <n v="21932"/>
    <n v="28"/>
    <n v="70"/>
    <x v="1"/>
    <n v="1"/>
    <x v="1"/>
    <n v="0.4395"/>
  </r>
  <r>
    <x v="774"/>
    <s v="Laurenborough"/>
    <n v="61979"/>
    <n v="386"/>
    <n v="28164"/>
    <n v="23"/>
    <n v="35"/>
    <x v="0"/>
    <n v="0"/>
    <x v="0"/>
    <n v="0.4395"/>
  </r>
  <r>
    <x v="775"/>
    <s v="North Stacy"/>
    <n v="49342"/>
    <n v="534"/>
    <n v="6831"/>
    <n v="29"/>
    <n v="35"/>
    <x v="0"/>
    <n v="0"/>
    <x v="2"/>
    <n v="0.4395"/>
  </r>
  <r>
    <x v="776"/>
    <s v="Williamsonview"/>
    <n v="115990"/>
    <n v="452"/>
    <n v="6836"/>
    <n v="23"/>
    <n v="60"/>
    <x v="1"/>
    <n v="1"/>
    <x v="2"/>
    <n v="0.4395"/>
  </r>
  <r>
    <x v="777"/>
    <s v="Ayalamouth"/>
    <n v="120128"/>
    <n v="806"/>
    <n v="8766"/>
    <n v="14"/>
    <n v="100"/>
    <x v="1"/>
    <n v="1"/>
    <x v="3"/>
    <n v="0.4395"/>
  </r>
  <r>
    <x v="778"/>
    <s v="Keithfort"/>
    <n v="30726"/>
    <n v="691"/>
    <n v="9532"/>
    <n v="27"/>
    <n v="55"/>
    <x v="0"/>
    <n v="0"/>
    <x v="1"/>
    <n v="0.4395"/>
  </r>
  <r>
    <x v="779"/>
    <s v="Jessicaborough"/>
    <n v="147002"/>
    <n v="728"/>
    <n v="12820"/>
    <n v="26"/>
    <n v="85"/>
    <x v="1"/>
    <n v="1"/>
    <x v="1"/>
    <n v="0.4395"/>
  </r>
  <r>
    <x v="780"/>
    <s v="New Shannon"/>
    <n v="128430"/>
    <n v="554"/>
    <n v="25224"/>
    <n v="37"/>
    <n v="55"/>
    <x v="0"/>
    <n v="0"/>
    <x v="2"/>
    <n v="0.4395"/>
  </r>
  <r>
    <x v="781"/>
    <s v="Port Marcus"/>
    <n v="142779"/>
    <n v="707"/>
    <n v="46013"/>
    <n v="13"/>
    <n v="75"/>
    <x v="1"/>
    <n v="1"/>
    <x v="1"/>
    <n v="0.4395"/>
  </r>
  <r>
    <x v="782"/>
    <s v="Charlesside"/>
    <n v="130931"/>
    <n v="360"/>
    <n v="4415"/>
    <n v="21"/>
    <n v="60"/>
    <x v="1"/>
    <n v="1"/>
    <x v="0"/>
    <n v="0.4395"/>
  </r>
  <r>
    <x v="783"/>
    <s v="North Jonfurt"/>
    <n v="146059"/>
    <n v="609"/>
    <n v="26866"/>
    <n v="23"/>
    <n v="70"/>
    <x v="1"/>
    <n v="1"/>
    <x v="1"/>
    <n v="0.4395"/>
  </r>
  <r>
    <x v="784"/>
    <s v="West Geoffrey"/>
    <n v="43970"/>
    <n v="804"/>
    <n v="23228"/>
    <n v="29"/>
    <n v="65"/>
    <x v="1"/>
    <n v="1"/>
    <x v="3"/>
    <n v="0.4395"/>
  </r>
  <r>
    <x v="785"/>
    <s v="West Darryl"/>
    <n v="132029"/>
    <n v="345"/>
    <n v="9380"/>
    <n v="31"/>
    <n v="60"/>
    <x v="1"/>
    <n v="1"/>
    <x v="0"/>
    <n v="0.4395"/>
  </r>
  <r>
    <x v="786"/>
    <s v="Campbellview"/>
    <n v="85724"/>
    <n v="570"/>
    <n v="34880"/>
    <n v="20"/>
    <n v="40"/>
    <x v="0"/>
    <n v="0"/>
    <x v="2"/>
    <n v="0.4395"/>
  </r>
  <r>
    <x v="787"/>
    <s v="Gallagherberg"/>
    <n v="58683"/>
    <n v="750"/>
    <n v="4487"/>
    <n v="12"/>
    <n v="85"/>
    <x v="1"/>
    <n v="1"/>
    <x v="1"/>
    <n v="0.4395"/>
  </r>
  <r>
    <x v="788"/>
    <s v="Williamsstad"/>
    <n v="53053"/>
    <n v="796"/>
    <n v="30999"/>
    <n v="31"/>
    <n v="70"/>
    <x v="1"/>
    <n v="1"/>
    <x v="3"/>
    <n v="0.4395"/>
  </r>
  <r>
    <x v="789"/>
    <s v="Claytonport"/>
    <n v="135396"/>
    <n v="484"/>
    <n v="12029"/>
    <n v="32"/>
    <n v="60"/>
    <x v="1"/>
    <n v="1"/>
    <x v="2"/>
    <n v="0.4395"/>
  </r>
  <r>
    <x v="790"/>
    <s v="New Whitney"/>
    <n v="121214"/>
    <n v="304"/>
    <n v="35472"/>
    <n v="36"/>
    <n v="50"/>
    <x v="0"/>
    <n v="0"/>
    <x v="0"/>
    <n v="0.4395"/>
  </r>
  <r>
    <x v="791"/>
    <s v="Rhodesmouth"/>
    <n v="97889"/>
    <n v="326"/>
    <n v="19630"/>
    <n v="7"/>
    <n v="45"/>
    <x v="0"/>
    <n v="0"/>
    <x v="0"/>
    <n v="0.4395"/>
  </r>
  <r>
    <x v="792"/>
    <s v="Ericland"/>
    <n v="90889"/>
    <n v="771"/>
    <n v="47380"/>
    <n v="30"/>
    <n v="75"/>
    <x v="1"/>
    <n v="1"/>
    <x v="3"/>
    <n v="0.4395"/>
  </r>
  <r>
    <x v="793"/>
    <s v="West Taramouth"/>
    <n v="36582"/>
    <n v="632"/>
    <n v="48942"/>
    <n v="36"/>
    <n v="40"/>
    <x v="0"/>
    <n v="0"/>
    <x v="1"/>
    <n v="0.4395"/>
  </r>
  <r>
    <x v="794"/>
    <s v="Marcuston"/>
    <n v="103060"/>
    <n v="372"/>
    <n v="36858"/>
    <n v="38"/>
    <n v="50"/>
    <x v="0"/>
    <n v="0"/>
    <x v="0"/>
    <n v="0.4395"/>
  </r>
  <r>
    <x v="795"/>
    <s v="Davisborough"/>
    <n v="62662"/>
    <n v="466"/>
    <n v="26460"/>
    <n v="25"/>
    <n v="35"/>
    <x v="0"/>
    <n v="0"/>
    <x v="2"/>
    <n v="0.4395"/>
  </r>
  <r>
    <x v="796"/>
    <s v="West Travischester"/>
    <n v="141193"/>
    <n v="617"/>
    <n v="45889"/>
    <n v="38"/>
    <n v="65"/>
    <x v="1"/>
    <n v="1"/>
    <x v="1"/>
    <n v="0.4395"/>
  </r>
  <r>
    <x v="797"/>
    <s v="South Sean"/>
    <n v="45906"/>
    <n v="697"/>
    <n v="32223"/>
    <n v="17"/>
    <n v="50"/>
    <x v="0"/>
    <n v="0"/>
    <x v="1"/>
    <n v="0.4395"/>
  </r>
  <r>
    <x v="798"/>
    <s v="Christinachester"/>
    <n v="89829"/>
    <n v="736"/>
    <n v="7091"/>
    <n v="2"/>
    <n v="70"/>
    <x v="1"/>
    <n v="1"/>
    <x v="1"/>
    <n v="0.4395"/>
  </r>
  <r>
    <x v="799"/>
    <s v="South Alison"/>
    <n v="47477"/>
    <n v="837"/>
    <n v="6503"/>
    <n v="18"/>
    <n v="75"/>
    <x v="1"/>
    <n v="1"/>
    <x v="3"/>
    <n v="0.4395"/>
  </r>
  <r>
    <x v="800"/>
    <s v="Edgarberg"/>
    <n v="135043"/>
    <n v="607"/>
    <n v="17295"/>
    <n v="33"/>
    <n v="70"/>
    <x v="1"/>
    <n v="1"/>
    <x v="1"/>
    <n v="0.4395"/>
  </r>
  <r>
    <x v="801"/>
    <s v="New Danielchester"/>
    <n v="90901"/>
    <n v="722"/>
    <n v="7192"/>
    <n v="29"/>
    <n v="80"/>
    <x v="1"/>
    <n v="1"/>
    <x v="1"/>
    <n v="0.4395"/>
  </r>
  <r>
    <x v="802"/>
    <s v="Brendahaven"/>
    <n v="117500"/>
    <n v="316"/>
    <n v="8466"/>
    <n v="29"/>
    <n v="60"/>
    <x v="1"/>
    <n v="1"/>
    <x v="0"/>
    <n v="0.4395"/>
  </r>
  <r>
    <x v="803"/>
    <s v="South Nancyport"/>
    <n v="99616"/>
    <n v="621"/>
    <n v="39483"/>
    <n v="29"/>
    <n v="60"/>
    <x v="1"/>
    <n v="1"/>
    <x v="1"/>
    <n v="0.4395"/>
  </r>
  <r>
    <x v="804"/>
    <s v="Tammyburgh"/>
    <n v="103259"/>
    <n v="516"/>
    <n v="13129"/>
    <n v="5"/>
    <n v="50"/>
    <x v="0"/>
    <n v="0"/>
    <x v="2"/>
    <n v="0.4395"/>
  </r>
  <r>
    <x v="805"/>
    <s v="South Amandatown"/>
    <n v="108047"/>
    <n v="704"/>
    <n v="8646"/>
    <n v="0"/>
    <n v="70"/>
    <x v="1"/>
    <n v="1"/>
    <x v="1"/>
    <n v="0.4395"/>
  </r>
  <r>
    <x v="806"/>
    <s v="Turnerstad"/>
    <n v="71588"/>
    <n v="704"/>
    <n v="20834"/>
    <n v="5"/>
    <n v="60"/>
    <x v="1"/>
    <n v="1"/>
    <x v="1"/>
    <n v="0.4395"/>
  </r>
  <r>
    <x v="807"/>
    <s v="Lake Taratown"/>
    <n v="128992"/>
    <n v="514"/>
    <n v="32530"/>
    <n v="9"/>
    <n v="45"/>
    <x v="0"/>
    <n v="0"/>
    <x v="2"/>
    <n v="0.4395"/>
  </r>
  <r>
    <x v="808"/>
    <s v="North Kevin"/>
    <n v="146840"/>
    <n v="774"/>
    <n v="10710"/>
    <n v="30"/>
    <n v="95"/>
    <x v="1"/>
    <n v="1"/>
    <x v="3"/>
    <n v="0.4395"/>
  </r>
  <r>
    <x v="809"/>
    <s v="Maynardfort"/>
    <n v="88008"/>
    <n v="320"/>
    <n v="30459"/>
    <n v="37"/>
    <n v="45"/>
    <x v="0"/>
    <n v="0"/>
    <x v="0"/>
    <n v="0.4395"/>
  </r>
  <r>
    <x v="810"/>
    <s v="Williamstown"/>
    <n v="110301"/>
    <n v="405"/>
    <n v="42314"/>
    <n v="27"/>
    <n v="50"/>
    <x v="0"/>
    <n v="0"/>
    <x v="0"/>
    <n v="0.4395"/>
  </r>
  <r>
    <x v="811"/>
    <s v="Benjaminfurt"/>
    <n v="136824"/>
    <n v="797"/>
    <n v="34643"/>
    <n v="37"/>
    <n v="85"/>
    <x v="1"/>
    <n v="1"/>
    <x v="3"/>
    <n v="0.4395"/>
  </r>
  <r>
    <x v="812"/>
    <s v="Hallton"/>
    <n v="124276"/>
    <n v="840"/>
    <n v="2246"/>
    <n v="27"/>
    <n v="100"/>
    <x v="1"/>
    <n v="1"/>
    <x v="3"/>
    <n v="0.4395"/>
  </r>
  <r>
    <x v="813"/>
    <s v="Smallville"/>
    <n v="146918"/>
    <n v="806"/>
    <n v="41809"/>
    <n v="22"/>
    <n v="90"/>
    <x v="1"/>
    <n v="1"/>
    <x v="3"/>
    <n v="0.4395"/>
  </r>
  <r>
    <x v="814"/>
    <s v="South Maurice"/>
    <n v="96162"/>
    <n v="537"/>
    <n v="34268"/>
    <n v="14"/>
    <n v="45"/>
    <x v="0"/>
    <n v="0"/>
    <x v="2"/>
    <n v="0.4395"/>
  </r>
  <r>
    <x v="815"/>
    <s v="Andersonport"/>
    <n v="85933"/>
    <n v="699"/>
    <n v="28319"/>
    <n v="23"/>
    <n v="70"/>
    <x v="1"/>
    <n v="1"/>
    <x v="1"/>
    <n v="0.4395"/>
  </r>
  <r>
    <x v="816"/>
    <s v="West Hannah"/>
    <n v="138864"/>
    <n v="388"/>
    <n v="44716"/>
    <n v="30"/>
    <n v="50"/>
    <x v="0"/>
    <n v="0"/>
    <x v="0"/>
    <n v="0.4395"/>
  </r>
  <r>
    <x v="817"/>
    <s v="Port Robertfort"/>
    <n v="148863"/>
    <n v="610"/>
    <n v="16382"/>
    <n v="13"/>
    <n v="70"/>
    <x v="1"/>
    <n v="1"/>
    <x v="1"/>
    <n v="0.4395"/>
  </r>
  <r>
    <x v="818"/>
    <s v="Michaelburgh"/>
    <n v="101810"/>
    <n v="478"/>
    <n v="33995"/>
    <n v="2"/>
    <n v="40"/>
    <x v="0"/>
    <n v="0"/>
    <x v="2"/>
    <n v="0.4395"/>
  </r>
  <r>
    <x v="819"/>
    <s v="North Anna"/>
    <n v="88446"/>
    <n v="798"/>
    <n v="17896"/>
    <n v="21"/>
    <n v="85"/>
    <x v="1"/>
    <n v="1"/>
    <x v="3"/>
    <n v="0.4395"/>
  </r>
  <r>
    <x v="820"/>
    <s v="Paulahaven"/>
    <n v="147598"/>
    <n v="406"/>
    <n v="47294"/>
    <n v="3"/>
    <n v="40"/>
    <x v="0"/>
    <n v="0"/>
    <x v="0"/>
    <n v="0.4395"/>
  </r>
  <r>
    <x v="821"/>
    <s v="North Kimberlyville"/>
    <n v="50861"/>
    <n v="342"/>
    <n v="34246"/>
    <n v="6"/>
    <n v="30"/>
    <x v="0"/>
    <n v="0"/>
    <x v="0"/>
    <n v="0.4395"/>
  </r>
  <r>
    <x v="822"/>
    <s v="Ericport"/>
    <n v="127472"/>
    <n v="752"/>
    <n v="34154"/>
    <n v="31"/>
    <n v="85"/>
    <x v="1"/>
    <n v="1"/>
    <x v="3"/>
    <n v="0.4395"/>
  </r>
  <r>
    <x v="823"/>
    <s v="Loriville"/>
    <n v="142917"/>
    <n v="506"/>
    <n v="29777"/>
    <n v="26"/>
    <n v="55"/>
    <x v="0"/>
    <n v="0"/>
    <x v="2"/>
    <n v="0.4395"/>
  </r>
  <r>
    <x v="824"/>
    <s v="Petersonhaven"/>
    <n v="92216"/>
    <n v="475"/>
    <n v="6585"/>
    <n v="17"/>
    <n v="55"/>
    <x v="0"/>
    <n v="0"/>
    <x v="2"/>
    <n v="0.4395"/>
  </r>
  <r>
    <x v="825"/>
    <s v="East Karen"/>
    <n v="88991"/>
    <n v="842"/>
    <n v="28637"/>
    <n v="14"/>
    <n v="85"/>
    <x v="1"/>
    <n v="1"/>
    <x v="3"/>
    <n v="0.4395"/>
  </r>
  <r>
    <x v="826"/>
    <s v="Cranehaven"/>
    <n v="63972"/>
    <n v="670"/>
    <n v="2950"/>
    <n v="28"/>
    <n v="75"/>
    <x v="1"/>
    <n v="1"/>
    <x v="1"/>
    <n v="0.4395"/>
  </r>
  <r>
    <x v="827"/>
    <s v="North Matthewfurt"/>
    <n v="128536"/>
    <n v="468"/>
    <n v="29447"/>
    <n v="3"/>
    <n v="45"/>
    <x v="0"/>
    <n v="0"/>
    <x v="2"/>
    <n v="0.4395"/>
  </r>
  <r>
    <x v="828"/>
    <s v="New Brian"/>
    <n v="62406"/>
    <n v="832"/>
    <n v="20380"/>
    <n v="26"/>
    <n v="80"/>
    <x v="1"/>
    <n v="1"/>
    <x v="3"/>
    <n v="0.4395"/>
  </r>
  <r>
    <x v="829"/>
    <s v="Jennifermouth"/>
    <n v="140082"/>
    <n v="652"/>
    <n v="1517"/>
    <n v="17"/>
    <n v="75"/>
    <x v="1"/>
    <n v="1"/>
    <x v="1"/>
    <n v="0.4395"/>
  </r>
  <r>
    <x v="830"/>
    <s v="Griffinborough"/>
    <n v="113579"/>
    <n v="752"/>
    <n v="46709"/>
    <n v="22"/>
    <n v="80"/>
    <x v="1"/>
    <n v="1"/>
    <x v="3"/>
    <n v="0.4395"/>
  </r>
  <r>
    <x v="831"/>
    <s v="West Christopher"/>
    <n v="66347"/>
    <n v="850"/>
    <n v="22921"/>
    <n v="24"/>
    <n v="80"/>
    <x v="1"/>
    <n v="1"/>
    <x v="3"/>
    <n v="0.4395"/>
  </r>
  <r>
    <x v="832"/>
    <s v="Jasonhaven"/>
    <n v="130376"/>
    <n v="619"/>
    <n v="35166"/>
    <n v="21"/>
    <n v="65"/>
    <x v="1"/>
    <n v="1"/>
    <x v="1"/>
    <n v="0.4395"/>
  </r>
  <r>
    <x v="833"/>
    <s v="Johnport"/>
    <n v="131931"/>
    <n v="732"/>
    <n v="34113"/>
    <n v="7"/>
    <n v="70"/>
    <x v="1"/>
    <n v="1"/>
    <x v="1"/>
    <n v="0.4395"/>
  </r>
  <r>
    <x v="834"/>
    <s v="Davidville"/>
    <n v="98327"/>
    <n v="759"/>
    <n v="20527"/>
    <n v="36"/>
    <n v="85"/>
    <x v="1"/>
    <n v="1"/>
    <x v="3"/>
    <n v="0.4395"/>
  </r>
  <r>
    <x v="835"/>
    <s v="West Kevin"/>
    <n v="93517"/>
    <n v="443"/>
    <n v="47815"/>
    <n v="24"/>
    <n v="40"/>
    <x v="0"/>
    <n v="0"/>
    <x v="0"/>
    <n v="0.4395"/>
  </r>
  <r>
    <x v="836"/>
    <s v="East Jenniferchester"/>
    <n v="112149"/>
    <n v="383"/>
    <n v="7045"/>
    <n v="3"/>
    <n v="50"/>
    <x v="0"/>
    <n v="0"/>
    <x v="0"/>
    <n v="0.4395"/>
  </r>
  <r>
    <x v="837"/>
    <s v="West Ericafurt"/>
    <n v="61358"/>
    <n v="831"/>
    <n v="26872"/>
    <n v="16"/>
    <n v="75"/>
    <x v="1"/>
    <n v="1"/>
    <x v="3"/>
    <n v="0.4395"/>
  </r>
  <r>
    <x v="838"/>
    <s v="Dennischester"/>
    <n v="65992"/>
    <n v="466"/>
    <n v="10459"/>
    <n v="32"/>
    <n v="45"/>
    <x v="0"/>
    <n v="0"/>
    <x v="2"/>
    <n v="0.4395"/>
  </r>
  <r>
    <x v="839"/>
    <s v="Lake Jasonfort"/>
    <n v="87654"/>
    <n v="333"/>
    <n v="49922"/>
    <n v="10"/>
    <n v="40"/>
    <x v="0"/>
    <n v="0"/>
    <x v="0"/>
    <n v="0.4395"/>
  </r>
  <r>
    <x v="840"/>
    <s v="Rodriguezstad"/>
    <n v="40155"/>
    <n v="596"/>
    <n v="3639"/>
    <n v="33"/>
    <n v="55"/>
    <x v="0"/>
    <n v="0"/>
    <x v="2"/>
    <n v="0.4395"/>
  </r>
  <r>
    <x v="841"/>
    <s v="Kellytown"/>
    <n v="123525"/>
    <n v="446"/>
    <n v="10315"/>
    <n v="37"/>
    <n v="60"/>
    <x v="1"/>
    <n v="1"/>
    <x v="0"/>
    <n v="0.4395"/>
  </r>
  <r>
    <x v="842"/>
    <s v="Jasonfort"/>
    <n v="67450"/>
    <n v="302"/>
    <n v="9016"/>
    <n v="35"/>
    <n v="45"/>
    <x v="0"/>
    <n v="0"/>
    <x v="0"/>
    <n v="0.4395"/>
  </r>
  <r>
    <x v="843"/>
    <s v="Arielmouth"/>
    <n v="60735"/>
    <n v="686"/>
    <n v="32144"/>
    <n v="38"/>
    <n v="60"/>
    <x v="1"/>
    <n v="1"/>
    <x v="1"/>
    <n v="0.4395"/>
  </r>
  <r>
    <x v="844"/>
    <s v="Contrerasberg"/>
    <n v="65614"/>
    <n v="633"/>
    <n v="6853"/>
    <n v="39"/>
    <n v="60"/>
    <x v="1"/>
    <n v="1"/>
    <x v="1"/>
    <n v="0.4395"/>
  </r>
  <r>
    <x v="845"/>
    <s v="Morganton"/>
    <n v="74020"/>
    <n v="753"/>
    <n v="49228"/>
    <n v="17"/>
    <n v="70"/>
    <x v="1"/>
    <n v="1"/>
    <x v="3"/>
    <n v="0.4395"/>
  </r>
  <r>
    <x v="846"/>
    <s v="Annville"/>
    <n v="71904"/>
    <n v="387"/>
    <n v="13610"/>
    <n v="39"/>
    <n v="45"/>
    <x v="0"/>
    <n v="0"/>
    <x v="0"/>
    <n v="0.4395"/>
  </r>
  <r>
    <x v="847"/>
    <s v="Port Thomas"/>
    <n v="147050"/>
    <n v="319"/>
    <n v="8882"/>
    <n v="34"/>
    <n v="60"/>
    <x v="1"/>
    <n v="1"/>
    <x v="0"/>
    <n v="0.4395"/>
  </r>
  <r>
    <x v="848"/>
    <s v="Port Janice"/>
    <n v="100798"/>
    <n v="754"/>
    <n v="6547"/>
    <n v="34"/>
    <n v="95"/>
    <x v="1"/>
    <n v="1"/>
    <x v="3"/>
    <n v="0.4395"/>
  </r>
  <r>
    <x v="849"/>
    <s v="West Samuelchester"/>
    <n v="40561"/>
    <n v="324"/>
    <n v="35596"/>
    <n v="20"/>
    <n v="25"/>
    <x v="0"/>
    <n v="0"/>
    <x v="0"/>
    <n v="0.4395"/>
  </r>
  <r>
    <x v="850"/>
    <s v="West Douglas"/>
    <n v="48136"/>
    <n v="561"/>
    <n v="6873"/>
    <n v="9"/>
    <n v="30"/>
    <x v="0"/>
    <n v="0"/>
    <x v="2"/>
    <n v="0.4395"/>
  </r>
  <r>
    <x v="851"/>
    <s v="Howardton"/>
    <n v="49769"/>
    <n v="605"/>
    <n v="26555"/>
    <n v="6"/>
    <n v="35"/>
    <x v="0"/>
    <n v="0"/>
    <x v="1"/>
    <n v="0.4395"/>
  </r>
  <r>
    <x v="852"/>
    <s v="Davidville"/>
    <n v="60311"/>
    <n v="353"/>
    <n v="14274"/>
    <n v="15"/>
    <n v="45"/>
    <x v="0"/>
    <n v="0"/>
    <x v="0"/>
    <n v="0.4395"/>
  </r>
  <r>
    <x v="853"/>
    <s v="Averyview"/>
    <n v="80205"/>
    <n v="362"/>
    <n v="21862"/>
    <n v="29"/>
    <n v="45"/>
    <x v="0"/>
    <n v="0"/>
    <x v="0"/>
    <n v="0.4395"/>
  </r>
  <r>
    <x v="854"/>
    <s v="North Joseph"/>
    <n v="120957"/>
    <n v="403"/>
    <n v="17142"/>
    <n v="35"/>
    <n v="55"/>
    <x v="0"/>
    <n v="0"/>
    <x v="0"/>
    <n v="0.4395"/>
  </r>
  <r>
    <x v="855"/>
    <s v="Millerhaven"/>
    <n v="50028"/>
    <n v="508"/>
    <n v="10330"/>
    <n v="23"/>
    <n v="45"/>
    <x v="0"/>
    <n v="0"/>
    <x v="2"/>
    <n v="0.4395"/>
  </r>
  <r>
    <x v="856"/>
    <s v="Aliside"/>
    <n v="122591"/>
    <n v="762"/>
    <n v="3738"/>
    <n v="0"/>
    <n v="80"/>
    <x v="1"/>
    <n v="1"/>
    <x v="3"/>
    <n v="0.4395"/>
  </r>
  <r>
    <x v="857"/>
    <s v="North Brian"/>
    <n v="58043"/>
    <n v="793"/>
    <n v="18911"/>
    <n v="38"/>
    <n v="75"/>
    <x v="1"/>
    <n v="1"/>
    <x v="3"/>
    <n v="0.4395"/>
  </r>
  <r>
    <x v="858"/>
    <s v="New Mary"/>
    <n v="38418"/>
    <n v="588"/>
    <n v="3980"/>
    <n v="10"/>
    <n v="50"/>
    <x v="0"/>
    <n v="0"/>
    <x v="2"/>
    <n v="0.4395"/>
  </r>
  <r>
    <x v="859"/>
    <s v="Haleberg"/>
    <n v="84377"/>
    <n v="586"/>
    <n v="29309"/>
    <n v="13"/>
    <n v="60"/>
    <x v="1"/>
    <n v="1"/>
    <x v="2"/>
    <n v="0.4395"/>
  </r>
  <r>
    <x v="860"/>
    <s v="Cynthiamouth"/>
    <n v="83424"/>
    <n v="579"/>
    <n v="17117"/>
    <n v="20"/>
    <n v="50"/>
    <x v="0"/>
    <n v="0"/>
    <x v="2"/>
    <n v="0.4395"/>
  </r>
  <r>
    <x v="861"/>
    <s v="Lake Dennistown"/>
    <n v="73369"/>
    <n v="787"/>
    <n v="1280"/>
    <n v="0"/>
    <n v="70"/>
    <x v="1"/>
    <n v="1"/>
    <x v="3"/>
    <n v="0.4395"/>
  </r>
  <r>
    <x v="862"/>
    <s v="Farmerside"/>
    <n v="101121"/>
    <n v="383"/>
    <n v="43539"/>
    <n v="4"/>
    <n v="35"/>
    <x v="0"/>
    <n v="0"/>
    <x v="0"/>
    <n v="0.4395"/>
  </r>
  <r>
    <x v="863"/>
    <s v="Chambersstad"/>
    <n v="91069"/>
    <n v="685"/>
    <n v="40407"/>
    <n v="22"/>
    <n v="65"/>
    <x v="1"/>
    <n v="1"/>
    <x v="1"/>
    <n v="0.4395"/>
  </r>
  <r>
    <x v="864"/>
    <s v="North Stevenborough"/>
    <n v="84496"/>
    <n v="755"/>
    <n v="1613"/>
    <n v="14"/>
    <n v="90"/>
    <x v="1"/>
    <n v="1"/>
    <x v="3"/>
    <n v="0.4395"/>
  </r>
  <r>
    <x v="865"/>
    <s v="Jamesport"/>
    <n v="38161"/>
    <n v="526"/>
    <n v="16352"/>
    <n v="31"/>
    <n v="25"/>
    <x v="0"/>
    <n v="0"/>
    <x v="2"/>
    <n v="0.4395"/>
  </r>
  <r>
    <x v="866"/>
    <s v="North James"/>
    <n v="57110"/>
    <n v="705"/>
    <n v="8270"/>
    <n v="17"/>
    <n v="70"/>
    <x v="1"/>
    <n v="1"/>
    <x v="1"/>
    <n v="0.4395"/>
  </r>
  <r>
    <x v="867"/>
    <s v="North Brianna"/>
    <n v="139168"/>
    <n v="366"/>
    <n v="9351"/>
    <n v="16"/>
    <n v="60"/>
    <x v="1"/>
    <n v="1"/>
    <x v="0"/>
    <n v="0.4395"/>
  </r>
  <r>
    <x v="868"/>
    <s v="Jamestown"/>
    <n v="85069"/>
    <n v="845"/>
    <n v="41269"/>
    <n v="16"/>
    <n v="80"/>
    <x v="1"/>
    <n v="1"/>
    <x v="3"/>
    <n v="0.4395"/>
  </r>
  <r>
    <x v="869"/>
    <s v="Davidsonton"/>
    <n v="81049"/>
    <n v="630"/>
    <n v="29347"/>
    <n v="26"/>
    <n v="60"/>
    <x v="1"/>
    <n v="1"/>
    <x v="1"/>
    <n v="0.4395"/>
  </r>
  <r>
    <x v="870"/>
    <s v="Zacharyton"/>
    <n v="148598"/>
    <n v="529"/>
    <n v="4077"/>
    <n v="17"/>
    <n v="60"/>
    <x v="1"/>
    <n v="1"/>
    <x v="2"/>
    <n v="0.4395"/>
  </r>
  <r>
    <x v="871"/>
    <s v="Leeland"/>
    <n v="130898"/>
    <n v="325"/>
    <n v="49329"/>
    <n v="14"/>
    <n v="50"/>
    <x v="0"/>
    <n v="0"/>
    <x v="0"/>
    <n v="0.4395"/>
  </r>
  <r>
    <x v="872"/>
    <s v="East Frank"/>
    <n v="106556"/>
    <n v="618"/>
    <n v="5118"/>
    <n v="40"/>
    <n v="75"/>
    <x v="1"/>
    <n v="1"/>
    <x v="1"/>
    <n v="0.4395"/>
  </r>
  <r>
    <x v="873"/>
    <s v="New Lauramouth"/>
    <n v="121163"/>
    <n v="556"/>
    <n v="17197"/>
    <n v="6"/>
    <n v="50"/>
    <x v="0"/>
    <n v="0"/>
    <x v="2"/>
    <n v="0.4395"/>
  </r>
  <r>
    <x v="874"/>
    <s v="Aprilbury"/>
    <n v="32560"/>
    <n v="374"/>
    <n v="40319"/>
    <n v="39"/>
    <n v="25"/>
    <x v="0"/>
    <n v="0"/>
    <x v="0"/>
    <n v="0.4395"/>
  </r>
  <r>
    <x v="875"/>
    <s v="North Territon"/>
    <n v="142293"/>
    <n v="686"/>
    <n v="21531"/>
    <n v="4"/>
    <n v="70"/>
    <x v="1"/>
    <n v="1"/>
    <x v="1"/>
    <n v="0.4395"/>
  </r>
  <r>
    <x v="876"/>
    <s v="West Cherylchester"/>
    <n v="145429"/>
    <n v="367"/>
    <n v="7673"/>
    <n v="3"/>
    <n v="50"/>
    <x v="0"/>
    <n v="0"/>
    <x v="0"/>
    <n v="0.4395"/>
  </r>
  <r>
    <x v="877"/>
    <s v="New Karenbury"/>
    <n v="130348"/>
    <n v="310"/>
    <n v="30714"/>
    <n v="24"/>
    <n v="55"/>
    <x v="0"/>
    <n v="0"/>
    <x v="0"/>
    <n v="0.4395"/>
  </r>
  <r>
    <x v="878"/>
    <s v="West Debratown"/>
    <n v="105456"/>
    <n v="764"/>
    <n v="34896"/>
    <n v="21"/>
    <n v="85"/>
    <x v="1"/>
    <n v="1"/>
    <x v="3"/>
    <n v="0.4395"/>
  </r>
  <r>
    <x v="879"/>
    <s v="New Kristineborough"/>
    <n v="79857"/>
    <n v="429"/>
    <n v="42770"/>
    <n v="32"/>
    <n v="40"/>
    <x v="0"/>
    <n v="0"/>
    <x v="0"/>
    <n v="0.4395"/>
  </r>
  <r>
    <x v="880"/>
    <s v="Lopezberg"/>
    <n v="92518"/>
    <n v="345"/>
    <n v="4964"/>
    <n v="8"/>
    <n v="50"/>
    <x v="0"/>
    <n v="0"/>
    <x v="0"/>
    <n v="0.4395"/>
  </r>
  <r>
    <x v="881"/>
    <s v="Larryside"/>
    <n v="30772"/>
    <n v="449"/>
    <n v="10660"/>
    <n v="30"/>
    <n v="30"/>
    <x v="0"/>
    <n v="0"/>
    <x v="0"/>
    <n v="0.4395"/>
  </r>
  <r>
    <x v="882"/>
    <s v="New Brendaberg"/>
    <n v="76105"/>
    <n v="358"/>
    <n v="16557"/>
    <n v="32"/>
    <n v="50"/>
    <x v="0"/>
    <n v="0"/>
    <x v="0"/>
    <n v="0.4395"/>
  </r>
  <r>
    <x v="883"/>
    <s v="Jamesborough"/>
    <n v="69139"/>
    <n v="506"/>
    <n v="5482"/>
    <n v="21"/>
    <n v="50"/>
    <x v="0"/>
    <n v="0"/>
    <x v="2"/>
    <n v="0.4395"/>
  </r>
  <r>
    <x v="884"/>
    <s v="Christinachester"/>
    <n v="128759"/>
    <n v="636"/>
    <n v="11635"/>
    <n v="6"/>
    <n v="70"/>
    <x v="1"/>
    <n v="1"/>
    <x v="1"/>
    <n v="0.4395"/>
  </r>
  <r>
    <x v="885"/>
    <s v="North Danielle"/>
    <n v="81116"/>
    <n v="535"/>
    <n v="31574"/>
    <n v="39"/>
    <n v="45"/>
    <x v="0"/>
    <n v="0"/>
    <x v="2"/>
    <n v="0.4395"/>
  </r>
  <r>
    <x v="886"/>
    <s v="Lindsayfurt"/>
    <n v="141863"/>
    <n v="510"/>
    <n v="27234"/>
    <n v="11"/>
    <n v="55"/>
    <x v="0"/>
    <n v="0"/>
    <x v="2"/>
    <n v="0.4395"/>
  </r>
  <r>
    <x v="887"/>
    <s v="Anthonyville"/>
    <n v="146869"/>
    <n v="445"/>
    <n v="20043"/>
    <n v="28"/>
    <n v="55"/>
    <x v="0"/>
    <n v="0"/>
    <x v="0"/>
    <n v="0.4395"/>
  </r>
  <r>
    <x v="888"/>
    <s v="North Jamesport"/>
    <n v="139540"/>
    <n v="478"/>
    <n v="15348"/>
    <n v="16"/>
    <n v="55"/>
    <x v="0"/>
    <n v="0"/>
    <x v="2"/>
    <n v="0.4395"/>
  </r>
  <r>
    <x v="889"/>
    <s v="East Andrew"/>
    <n v="84921"/>
    <n v="568"/>
    <n v="7631"/>
    <n v="1"/>
    <n v="40"/>
    <x v="0"/>
    <n v="0"/>
    <x v="2"/>
    <n v="0.4395"/>
  </r>
  <r>
    <x v="890"/>
    <s v="West Sharonport"/>
    <n v="100545"/>
    <n v="767"/>
    <n v="16738"/>
    <n v="23"/>
    <n v="90"/>
    <x v="1"/>
    <n v="1"/>
    <x v="3"/>
    <n v="0.4395"/>
  </r>
  <r>
    <x v="891"/>
    <s v="Johnsland"/>
    <n v="127978"/>
    <n v="421"/>
    <n v="10465"/>
    <n v="8"/>
    <n v="55"/>
    <x v="0"/>
    <n v="0"/>
    <x v="0"/>
    <n v="0.4395"/>
  </r>
  <r>
    <x v="892"/>
    <s v="Louischester"/>
    <n v="126289"/>
    <n v="550"/>
    <n v="4027"/>
    <n v="39"/>
    <n v="60"/>
    <x v="1"/>
    <n v="1"/>
    <x v="2"/>
    <n v="0.4395"/>
  </r>
  <r>
    <x v="893"/>
    <s v="West John"/>
    <n v="101582"/>
    <n v="586"/>
    <n v="9287"/>
    <n v="32"/>
    <n v="75"/>
    <x v="1"/>
    <n v="1"/>
    <x v="2"/>
    <n v="0.4395"/>
  </r>
  <r>
    <x v="894"/>
    <s v="Port Thomasland"/>
    <n v="134840"/>
    <n v="471"/>
    <n v="34332"/>
    <n v="24"/>
    <n v="50"/>
    <x v="0"/>
    <n v="0"/>
    <x v="2"/>
    <n v="0.4395"/>
  </r>
  <r>
    <x v="895"/>
    <s v="Stoneburgh"/>
    <n v="109069"/>
    <n v="629"/>
    <n v="47693"/>
    <n v="23"/>
    <n v="60"/>
    <x v="1"/>
    <n v="1"/>
    <x v="1"/>
    <n v="0.4395"/>
  </r>
  <r>
    <x v="896"/>
    <s v="Adamsfurt"/>
    <n v="147677"/>
    <n v="337"/>
    <n v="14579"/>
    <n v="14"/>
    <n v="60"/>
    <x v="1"/>
    <n v="1"/>
    <x v="0"/>
    <n v="0.4395"/>
  </r>
  <r>
    <x v="897"/>
    <s v="West Ronald"/>
    <n v="58906"/>
    <n v="686"/>
    <n v="38445"/>
    <n v="10"/>
    <n v="60"/>
    <x v="1"/>
    <n v="1"/>
    <x v="1"/>
    <n v="0.4395"/>
  </r>
  <r>
    <x v="898"/>
    <s v="Port Christopher"/>
    <n v="93993"/>
    <n v="755"/>
    <n v="35001"/>
    <n v="22"/>
    <n v="80"/>
    <x v="1"/>
    <n v="1"/>
    <x v="3"/>
    <n v="0.4395"/>
  </r>
  <r>
    <x v="899"/>
    <s v="Ronaldmouth"/>
    <n v="58760"/>
    <n v="742"/>
    <n v="27801"/>
    <n v="23"/>
    <n v="70"/>
    <x v="1"/>
    <n v="1"/>
    <x v="1"/>
    <n v="0.4395"/>
  </r>
  <r>
    <x v="900"/>
    <s v="South Jesus"/>
    <n v="65774"/>
    <n v="377"/>
    <n v="24533"/>
    <n v="5"/>
    <n v="35"/>
    <x v="0"/>
    <n v="0"/>
    <x v="0"/>
    <n v="0.4395"/>
  </r>
  <r>
    <x v="901"/>
    <s v="Port Joshuabury"/>
    <n v="87125"/>
    <n v="400"/>
    <n v="8771"/>
    <n v="4"/>
    <n v="40"/>
    <x v="0"/>
    <n v="0"/>
    <x v="0"/>
    <n v="0.4395"/>
  </r>
  <r>
    <x v="902"/>
    <s v="Johnview"/>
    <n v="93654"/>
    <n v="495"/>
    <n v="47244"/>
    <n v="38"/>
    <n v="40"/>
    <x v="0"/>
    <n v="0"/>
    <x v="2"/>
    <n v="0.4395"/>
  </r>
  <r>
    <x v="903"/>
    <s v="Port Kevinstad"/>
    <n v="33804"/>
    <n v="713"/>
    <n v="27591"/>
    <n v="37"/>
    <n v="50"/>
    <x v="0"/>
    <n v="0"/>
    <x v="1"/>
    <n v="0.4395"/>
  </r>
  <r>
    <x v="904"/>
    <s v="Port Raymond"/>
    <n v="80968"/>
    <n v="532"/>
    <n v="48404"/>
    <n v="13"/>
    <n v="40"/>
    <x v="0"/>
    <n v="0"/>
    <x v="2"/>
    <n v="0.4395"/>
  </r>
  <r>
    <x v="905"/>
    <s v="Sharpmouth"/>
    <n v="74057"/>
    <n v="648"/>
    <n v="6627"/>
    <n v="20"/>
    <n v="65"/>
    <x v="1"/>
    <n v="1"/>
    <x v="1"/>
    <n v="0.4395"/>
  </r>
  <r>
    <x v="906"/>
    <s v="Clarkmouth"/>
    <n v="117670"/>
    <n v="330"/>
    <n v="25556"/>
    <n v="8"/>
    <n v="50"/>
    <x v="0"/>
    <n v="0"/>
    <x v="0"/>
    <n v="0.4395"/>
  </r>
  <r>
    <x v="907"/>
    <s v="South Lisastad"/>
    <n v="119016"/>
    <n v="647"/>
    <n v="15777"/>
    <n v="26"/>
    <n v="70"/>
    <x v="1"/>
    <n v="1"/>
    <x v="1"/>
    <n v="0.4395"/>
  </r>
  <r>
    <x v="908"/>
    <s v="Marktown"/>
    <n v="134614"/>
    <n v="332"/>
    <n v="10118"/>
    <n v="9"/>
    <n v="55"/>
    <x v="0"/>
    <n v="0"/>
    <x v="0"/>
    <n v="0.4395"/>
  </r>
  <r>
    <x v="909"/>
    <s v="Bairdborough"/>
    <n v="82994"/>
    <n v="700"/>
    <n v="5175"/>
    <n v="34"/>
    <n v="80"/>
    <x v="1"/>
    <n v="1"/>
    <x v="1"/>
    <n v="0.4395"/>
  </r>
  <r>
    <x v="910"/>
    <s v="Fowlerport"/>
    <n v="124919"/>
    <n v="395"/>
    <n v="12234"/>
    <n v="6"/>
    <n v="55"/>
    <x v="0"/>
    <n v="0"/>
    <x v="0"/>
    <n v="0.4395"/>
  </r>
  <r>
    <x v="911"/>
    <s v="Johnsonborough"/>
    <n v="51632"/>
    <n v="371"/>
    <n v="26289"/>
    <n v="18"/>
    <n v="35"/>
    <x v="0"/>
    <n v="0"/>
    <x v="0"/>
    <n v="0.4395"/>
  </r>
  <r>
    <x v="912"/>
    <s v="Brownhaven"/>
    <n v="140166"/>
    <n v="311"/>
    <n v="12260"/>
    <n v="20"/>
    <n v="60"/>
    <x v="1"/>
    <n v="1"/>
    <x v="0"/>
    <n v="0.4395"/>
  </r>
  <r>
    <x v="913"/>
    <s v="East Amandafort"/>
    <n v="91261"/>
    <n v="370"/>
    <n v="26493"/>
    <n v="13"/>
    <n v="45"/>
    <x v="0"/>
    <n v="0"/>
    <x v="0"/>
    <n v="0.4395"/>
  </r>
  <r>
    <x v="914"/>
    <s v="Mooreshire"/>
    <n v="46728"/>
    <n v="617"/>
    <n v="39501"/>
    <n v="12"/>
    <n v="40"/>
    <x v="0"/>
    <n v="0"/>
    <x v="1"/>
    <n v="0.4395"/>
  </r>
  <r>
    <x v="915"/>
    <s v="East Seanfurt"/>
    <n v="111560"/>
    <n v="552"/>
    <n v="35462"/>
    <n v="21"/>
    <n v="50"/>
    <x v="0"/>
    <n v="0"/>
    <x v="2"/>
    <n v="0.4395"/>
  </r>
  <r>
    <x v="916"/>
    <s v="Lake Christophermouth"/>
    <n v="100008"/>
    <n v="655"/>
    <n v="46895"/>
    <n v="19"/>
    <n v="60"/>
    <x v="1"/>
    <n v="1"/>
    <x v="1"/>
    <n v="0.4395"/>
  </r>
  <r>
    <x v="917"/>
    <s v="Wrightchester"/>
    <n v="33534"/>
    <n v="768"/>
    <n v="26209"/>
    <n v="11"/>
    <n v="60"/>
    <x v="1"/>
    <n v="1"/>
    <x v="3"/>
    <n v="0.4395"/>
  </r>
  <r>
    <x v="918"/>
    <s v="East Nicoleburgh"/>
    <n v="148872"/>
    <n v="580"/>
    <n v="42162"/>
    <n v="34"/>
    <n v="65"/>
    <x v="1"/>
    <n v="1"/>
    <x v="2"/>
    <n v="0.4395"/>
  </r>
  <r>
    <x v="919"/>
    <s v="South Robert"/>
    <n v="81645"/>
    <n v="424"/>
    <n v="25165"/>
    <n v="4"/>
    <n v="35"/>
    <x v="0"/>
    <n v="0"/>
    <x v="0"/>
    <n v="0.4395"/>
  </r>
  <r>
    <x v="920"/>
    <s v="Hayesview"/>
    <n v="107580"/>
    <n v="512"/>
    <n v="34165"/>
    <n v="2"/>
    <n v="40"/>
    <x v="0"/>
    <n v="0"/>
    <x v="2"/>
    <n v="0.4395"/>
  </r>
  <r>
    <x v="921"/>
    <s v="Jamesfurt"/>
    <n v="103975"/>
    <n v="499"/>
    <n v="26996"/>
    <n v="2"/>
    <n v="40"/>
    <x v="0"/>
    <n v="0"/>
    <x v="2"/>
    <n v="0.4395"/>
  </r>
  <r>
    <x v="922"/>
    <s v="Ellenmouth"/>
    <n v="116900"/>
    <n v="796"/>
    <n v="31235"/>
    <n v="4"/>
    <n v="75"/>
    <x v="1"/>
    <n v="1"/>
    <x v="3"/>
    <n v="0.4395"/>
  </r>
  <r>
    <x v="923"/>
    <s v="Taylorview"/>
    <n v="33552"/>
    <n v="465"/>
    <n v="12179"/>
    <n v="1"/>
    <n v="15"/>
    <x v="0"/>
    <n v="0"/>
    <x v="2"/>
    <n v="0.4395"/>
  </r>
  <r>
    <x v="924"/>
    <s v="Jacksontown"/>
    <n v="41003"/>
    <n v="579"/>
    <n v="11059"/>
    <n v="28"/>
    <n v="30"/>
    <x v="0"/>
    <n v="0"/>
    <x v="2"/>
    <n v="0.4395"/>
  </r>
  <r>
    <x v="925"/>
    <s v="South Heather"/>
    <n v="114246"/>
    <n v="835"/>
    <n v="43009"/>
    <n v="6"/>
    <n v="85"/>
    <x v="1"/>
    <n v="1"/>
    <x v="3"/>
    <n v="0.4395"/>
  </r>
  <r>
    <x v="926"/>
    <s v="North Kelseyborough"/>
    <n v="86179"/>
    <n v="555"/>
    <n v="25552"/>
    <n v="15"/>
    <n v="45"/>
    <x v="0"/>
    <n v="0"/>
    <x v="2"/>
    <n v="0.4395"/>
  </r>
  <r>
    <x v="927"/>
    <s v="West Loriland"/>
    <n v="47786"/>
    <n v="525"/>
    <n v="7330"/>
    <n v="10"/>
    <n v="35"/>
    <x v="0"/>
    <n v="0"/>
    <x v="2"/>
    <n v="0.4395"/>
  </r>
  <r>
    <x v="928"/>
    <s v="Marcusborough"/>
    <n v="143619"/>
    <n v="512"/>
    <n v="36501"/>
    <n v="25"/>
    <n v="50"/>
    <x v="0"/>
    <n v="0"/>
    <x v="2"/>
    <n v="0.4395"/>
  </r>
  <r>
    <x v="929"/>
    <s v="Marcustown"/>
    <n v="90515"/>
    <n v="711"/>
    <n v="43860"/>
    <n v="20"/>
    <n v="65"/>
    <x v="1"/>
    <n v="1"/>
    <x v="1"/>
    <n v="0.4395"/>
  </r>
  <r>
    <x v="930"/>
    <s v="Debrastad"/>
    <n v="53819"/>
    <n v="344"/>
    <n v="5412"/>
    <n v="13"/>
    <n v="45"/>
    <x v="0"/>
    <n v="0"/>
    <x v="0"/>
    <n v="0.4395"/>
  </r>
  <r>
    <x v="931"/>
    <s v="Lake Amandashire"/>
    <n v="36590"/>
    <n v="475"/>
    <n v="17511"/>
    <n v="6"/>
    <n v="20"/>
    <x v="0"/>
    <n v="0"/>
    <x v="2"/>
    <n v="0.4395"/>
  </r>
  <r>
    <x v="932"/>
    <s v="West Gregory"/>
    <n v="64099"/>
    <n v="625"/>
    <n v="44671"/>
    <n v="30"/>
    <n v="50"/>
    <x v="0"/>
    <n v="0"/>
    <x v="1"/>
    <n v="0.4395"/>
  </r>
  <r>
    <x v="933"/>
    <s v="Reyesbury"/>
    <n v="79689"/>
    <n v="815"/>
    <n v="39500"/>
    <n v="0"/>
    <n v="65"/>
    <x v="1"/>
    <n v="1"/>
    <x v="3"/>
    <n v="0.4395"/>
  </r>
  <r>
    <x v="934"/>
    <s v="Joelchester"/>
    <n v="72906"/>
    <n v="549"/>
    <n v="41616"/>
    <n v="5"/>
    <n v="30"/>
    <x v="0"/>
    <n v="0"/>
    <x v="2"/>
    <n v="0.4395"/>
  </r>
  <r>
    <x v="935"/>
    <s v="South James"/>
    <n v="57742"/>
    <n v="338"/>
    <n v="16601"/>
    <n v="38"/>
    <n v="40"/>
    <x v="0"/>
    <n v="0"/>
    <x v="0"/>
    <n v="0.4395"/>
  </r>
  <r>
    <x v="936"/>
    <s v="Dawnton"/>
    <n v="89598"/>
    <n v="833"/>
    <n v="28190"/>
    <n v="18"/>
    <n v="85"/>
    <x v="1"/>
    <n v="1"/>
    <x v="3"/>
    <n v="0.4395"/>
  </r>
  <r>
    <x v="937"/>
    <s v="Johnside"/>
    <n v="72840"/>
    <n v="355"/>
    <n v="44581"/>
    <n v="15"/>
    <n v="35"/>
    <x v="0"/>
    <n v="0"/>
    <x v="0"/>
    <n v="0.4395"/>
  </r>
  <r>
    <x v="938"/>
    <s v="Boydburgh"/>
    <n v="74236"/>
    <n v="752"/>
    <n v="42273"/>
    <n v="0"/>
    <n v="55"/>
    <x v="0"/>
    <n v="0"/>
    <x v="3"/>
    <n v="0.4395"/>
  </r>
  <r>
    <x v="939"/>
    <s v="Lake Victoriaborough"/>
    <n v="129775"/>
    <n v="428"/>
    <n v="7013"/>
    <n v="11"/>
    <n v="60"/>
    <x v="1"/>
    <n v="1"/>
    <x v="0"/>
    <n v="0.4395"/>
  </r>
  <r>
    <x v="940"/>
    <s v="New Christian"/>
    <n v="145296"/>
    <n v="778"/>
    <n v="21412"/>
    <n v="10"/>
    <n v="90"/>
    <x v="1"/>
    <n v="1"/>
    <x v="3"/>
    <n v="0.4395"/>
  </r>
  <r>
    <x v="941"/>
    <s v="West Justin"/>
    <n v="79692"/>
    <n v="759"/>
    <n v="42654"/>
    <n v="12"/>
    <n v="75"/>
    <x v="1"/>
    <n v="1"/>
    <x v="3"/>
    <n v="0.4395"/>
  </r>
  <r>
    <x v="942"/>
    <s v="Raymondburgh"/>
    <n v="66471"/>
    <n v="782"/>
    <n v="29926"/>
    <n v="27"/>
    <n v="70"/>
    <x v="1"/>
    <n v="1"/>
    <x v="3"/>
    <n v="0.4395"/>
  </r>
  <r>
    <x v="943"/>
    <s v="Smithfurt"/>
    <n v="128567"/>
    <n v="737"/>
    <n v="6454"/>
    <n v="19"/>
    <n v="85"/>
    <x v="1"/>
    <n v="1"/>
    <x v="1"/>
    <n v="0.4395"/>
  </r>
  <r>
    <x v="944"/>
    <s v="Oscarport"/>
    <n v="139041"/>
    <n v="764"/>
    <n v="19561"/>
    <n v="24"/>
    <n v="90"/>
    <x v="1"/>
    <n v="1"/>
    <x v="3"/>
    <n v="0.4395"/>
  </r>
  <r>
    <x v="945"/>
    <s v="Gonzalezborough"/>
    <n v="85255"/>
    <n v="304"/>
    <n v="1841"/>
    <n v="32"/>
    <n v="55"/>
    <x v="0"/>
    <n v="0"/>
    <x v="0"/>
    <n v="0.4395"/>
  </r>
  <r>
    <x v="946"/>
    <s v="Bentleystad"/>
    <n v="63065"/>
    <n v="693"/>
    <n v="33083"/>
    <n v="19"/>
    <n v="60"/>
    <x v="1"/>
    <n v="1"/>
    <x v="1"/>
    <n v="0.4395"/>
  </r>
  <r>
    <x v="947"/>
    <s v="North Paulshire"/>
    <n v="139433"/>
    <n v="466"/>
    <n v="13728"/>
    <n v="27"/>
    <n v="60"/>
    <x v="1"/>
    <n v="1"/>
    <x v="2"/>
    <n v="0.4395"/>
  </r>
  <r>
    <x v="948"/>
    <s v="Williamfort"/>
    <n v="40735"/>
    <n v="677"/>
    <n v="46642"/>
    <n v="3"/>
    <n v="40"/>
    <x v="0"/>
    <n v="0"/>
    <x v="1"/>
    <n v="0.4395"/>
  </r>
  <r>
    <x v="949"/>
    <s v="South Austin"/>
    <n v="91644"/>
    <n v="670"/>
    <n v="42350"/>
    <n v="1"/>
    <n v="50"/>
    <x v="0"/>
    <n v="0"/>
    <x v="1"/>
    <n v="0.4395"/>
  </r>
  <r>
    <x v="950"/>
    <s v="Blackburnberg"/>
    <n v="32540"/>
    <n v="560"/>
    <n v="17214"/>
    <n v="38"/>
    <n v="25"/>
    <x v="0"/>
    <n v="0"/>
    <x v="2"/>
    <n v="0.4395"/>
  </r>
  <r>
    <x v="951"/>
    <s v="Port Christopherfurt"/>
    <n v="128176"/>
    <n v="707"/>
    <n v="47272"/>
    <n v="37"/>
    <n v="75"/>
    <x v="1"/>
    <n v="1"/>
    <x v="1"/>
    <n v="0.4395"/>
  </r>
  <r>
    <x v="952"/>
    <s v="Martinchester"/>
    <n v="100702"/>
    <n v="558"/>
    <n v="46340"/>
    <n v="19"/>
    <n v="45"/>
    <x v="0"/>
    <n v="0"/>
    <x v="2"/>
    <n v="0.4395"/>
  </r>
  <r>
    <x v="953"/>
    <s v="Jessicaland"/>
    <n v="36826"/>
    <n v="411"/>
    <n v="42692"/>
    <n v="36"/>
    <n v="25"/>
    <x v="0"/>
    <n v="0"/>
    <x v="0"/>
    <n v="0.4395"/>
  </r>
  <r>
    <x v="954"/>
    <s v="Lake Raymond"/>
    <n v="75870"/>
    <n v="615"/>
    <n v="1420"/>
    <n v="10"/>
    <n v="70"/>
    <x v="1"/>
    <n v="1"/>
    <x v="1"/>
    <n v="0.4395"/>
  </r>
  <r>
    <x v="955"/>
    <s v="Warrenport"/>
    <n v="59389"/>
    <n v="741"/>
    <n v="12182"/>
    <n v="11"/>
    <n v="80"/>
    <x v="1"/>
    <n v="1"/>
    <x v="1"/>
    <n v="0.4395"/>
  </r>
  <r>
    <x v="956"/>
    <s v="New Stacy"/>
    <n v="115215"/>
    <n v="761"/>
    <n v="38164"/>
    <n v="13"/>
    <n v="85"/>
    <x v="1"/>
    <n v="1"/>
    <x v="3"/>
    <n v="0.4395"/>
  </r>
  <r>
    <x v="957"/>
    <s v="West Tonya"/>
    <n v="38993"/>
    <n v="718"/>
    <n v="29883"/>
    <n v="40"/>
    <n v="50"/>
    <x v="0"/>
    <n v="0"/>
    <x v="1"/>
    <n v="0.4395"/>
  </r>
  <r>
    <x v="958"/>
    <s v="West Christopherville"/>
    <n v="132397"/>
    <n v="583"/>
    <n v="5211"/>
    <n v="21"/>
    <n v="75"/>
    <x v="1"/>
    <n v="1"/>
    <x v="2"/>
    <n v="0.4395"/>
  </r>
  <r>
    <x v="959"/>
    <s v="North Brucetown"/>
    <n v="115426"/>
    <n v="342"/>
    <n v="7346"/>
    <n v="13"/>
    <n v="60"/>
    <x v="1"/>
    <n v="1"/>
    <x v="0"/>
    <n v="0.4395"/>
  </r>
  <r>
    <x v="960"/>
    <s v="Sarahfort"/>
    <n v="35276"/>
    <n v="645"/>
    <n v="40608"/>
    <n v="27"/>
    <n v="40"/>
    <x v="0"/>
    <n v="0"/>
    <x v="1"/>
    <n v="0.4395"/>
  </r>
  <r>
    <x v="961"/>
    <s v="Lisastad"/>
    <n v="128858"/>
    <n v="708"/>
    <n v="25801"/>
    <n v="39"/>
    <n v="80"/>
    <x v="1"/>
    <n v="1"/>
    <x v="1"/>
    <n v="0.4395"/>
  </r>
  <r>
    <x v="962"/>
    <s v="North Stephenfurt"/>
    <n v="34067"/>
    <n v="442"/>
    <n v="2682"/>
    <n v="38"/>
    <n v="40"/>
    <x v="0"/>
    <n v="0"/>
    <x v="0"/>
    <n v="0.4395"/>
  </r>
  <r>
    <x v="963"/>
    <s v="West Shannon"/>
    <n v="62411"/>
    <n v="786"/>
    <n v="34745"/>
    <n v="26"/>
    <n v="70"/>
    <x v="1"/>
    <n v="1"/>
    <x v="3"/>
    <n v="0.4395"/>
  </r>
  <r>
    <x v="964"/>
    <s v="Allenstad"/>
    <n v="56130"/>
    <n v="346"/>
    <n v="49222"/>
    <n v="20"/>
    <n v="35"/>
    <x v="0"/>
    <n v="0"/>
    <x v="0"/>
    <n v="0.4395"/>
  </r>
  <r>
    <x v="965"/>
    <s v="West Ronniefort"/>
    <n v="139999"/>
    <n v="402"/>
    <n v="49121"/>
    <n v="24"/>
    <n v="50"/>
    <x v="0"/>
    <n v="0"/>
    <x v="0"/>
    <n v="0.4395"/>
  </r>
  <r>
    <x v="966"/>
    <s v="East Tylerland"/>
    <n v="32671"/>
    <n v="608"/>
    <n v="45109"/>
    <n v="35"/>
    <n v="40"/>
    <x v="0"/>
    <n v="0"/>
    <x v="1"/>
    <n v="0.4395"/>
  </r>
  <r>
    <x v="967"/>
    <s v="Batesbury"/>
    <n v="111439"/>
    <n v="549"/>
    <n v="14870"/>
    <n v="10"/>
    <n v="55"/>
    <x v="0"/>
    <n v="0"/>
    <x v="2"/>
    <n v="0.4395"/>
  </r>
  <r>
    <x v="968"/>
    <s v="Holdertown"/>
    <n v="49973"/>
    <n v="464"/>
    <n v="22397"/>
    <n v="24"/>
    <n v="25"/>
    <x v="0"/>
    <n v="0"/>
    <x v="2"/>
    <n v="0.4395"/>
  </r>
  <r>
    <x v="969"/>
    <s v="Lynnville"/>
    <n v="61266"/>
    <n v="439"/>
    <n v="36031"/>
    <n v="40"/>
    <n v="35"/>
    <x v="0"/>
    <n v="0"/>
    <x v="0"/>
    <n v="0.4395"/>
  </r>
  <r>
    <x v="970"/>
    <s v="New Katie"/>
    <n v="46544"/>
    <n v="366"/>
    <n v="43204"/>
    <n v="21"/>
    <n v="25"/>
    <x v="0"/>
    <n v="0"/>
    <x v="0"/>
    <n v="0.4395"/>
  </r>
  <r>
    <x v="971"/>
    <s v="Valdezside"/>
    <n v="92070"/>
    <n v="747"/>
    <n v="16293"/>
    <n v="14"/>
    <n v="85"/>
    <x v="1"/>
    <n v="1"/>
    <x v="1"/>
    <n v="0.4395"/>
  </r>
  <r>
    <x v="972"/>
    <s v="Joyborough"/>
    <n v="117747"/>
    <n v="418"/>
    <n v="38541"/>
    <n v="23"/>
    <n v="50"/>
    <x v="0"/>
    <n v="0"/>
    <x v="0"/>
    <n v="0.4395"/>
  </r>
  <r>
    <x v="973"/>
    <s v="West Bryanside"/>
    <n v="44993"/>
    <n v="494"/>
    <n v="26437"/>
    <n v="27"/>
    <n v="25"/>
    <x v="0"/>
    <n v="0"/>
    <x v="2"/>
    <n v="0.4395"/>
  </r>
  <r>
    <x v="974"/>
    <s v="New Elizabeth"/>
    <n v="103920"/>
    <n v="527"/>
    <n v="7985"/>
    <n v="25"/>
    <n v="60"/>
    <x v="1"/>
    <n v="1"/>
    <x v="2"/>
    <n v="0.4395"/>
  </r>
  <r>
    <x v="975"/>
    <s v="Maryfort"/>
    <n v="58569"/>
    <n v="766"/>
    <n v="10661"/>
    <n v="38"/>
    <n v="80"/>
    <x v="1"/>
    <n v="1"/>
    <x v="3"/>
    <n v="0.4395"/>
  </r>
  <r>
    <x v="976"/>
    <s v="New Lukehaven"/>
    <n v="90952"/>
    <n v="426"/>
    <n v="18920"/>
    <n v="36"/>
    <n v="50"/>
    <x v="0"/>
    <n v="0"/>
    <x v="0"/>
    <n v="0.4395"/>
  </r>
  <r>
    <x v="977"/>
    <s v="Brownmouth"/>
    <n v="121680"/>
    <n v="456"/>
    <n v="47973"/>
    <n v="13"/>
    <n v="50"/>
    <x v="0"/>
    <n v="0"/>
    <x v="2"/>
    <n v="0.4395"/>
  </r>
  <r>
    <x v="978"/>
    <s v="Port Kimberlyfort"/>
    <n v="63586"/>
    <n v="701"/>
    <n v="20601"/>
    <n v="10"/>
    <n v="65"/>
    <x v="1"/>
    <n v="1"/>
    <x v="1"/>
    <n v="0.4395"/>
  </r>
  <r>
    <x v="979"/>
    <s v="Katherinefurt"/>
    <n v="130518"/>
    <n v="373"/>
    <n v="35592"/>
    <n v="18"/>
    <n v="50"/>
    <x v="0"/>
    <n v="0"/>
    <x v="0"/>
    <n v="0.4395"/>
  </r>
  <r>
    <x v="980"/>
    <s v="Davismouth"/>
    <n v="78351"/>
    <n v="355"/>
    <n v="47503"/>
    <n v="19"/>
    <n v="40"/>
    <x v="0"/>
    <n v="0"/>
    <x v="0"/>
    <n v="0.4395"/>
  </r>
  <r>
    <x v="981"/>
    <s v="Carterberg"/>
    <n v="51992"/>
    <n v="514"/>
    <n v="15295"/>
    <n v="12"/>
    <n v="40"/>
    <x v="0"/>
    <n v="0"/>
    <x v="2"/>
    <n v="0.4395"/>
  </r>
  <r>
    <x v="982"/>
    <s v="Lake Kristenberg"/>
    <n v="109415"/>
    <n v="685"/>
    <n v="28991"/>
    <n v="10"/>
    <n v="75"/>
    <x v="1"/>
    <n v="1"/>
    <x v="1"/>
    <n v="0.4395"/>
  </r>
  <r>
    <x v="983"/>
    <s v="North David"/>
    <n v="109593"/>
    <n v="827"/>
    <n v="43604"/>
    <n v="21"/>
    <n v="90"/>
    <x v="1"/>
    <n v="1"/>
    <x v="3"/>
    <n v="0.4395"/>
  </r>
  <r>
    <x v="984"/>
    <s v="Sanchezville"/>
    <n v="128032"/>
    <n v="546"/>
    <n v="26994"/>
    <n v="31"/>
    <n v="55"/>
    <x v="0"/>
    <n v="0"/>
    <x v="2"/>
    <n v="0.4395"/>
  </r>
  <r>
    <x v="985"/>
    <s v="Parsonsland"/>
    <n v="124156"/>
    <n v="774"/>
    <n v="43618"/>
    <n v="24"/>
    <n v="85"/>
    <x v="1"/>
    <n v="1"/>
    <x v="3"/>
    <n v="0.4395"/>
  </r>
  <r>
    <x v="986"/>
    <s v="North Christopherfort"/>
    <n v="45012"/>
    <n v="821"/>
    <n v="15741"/>
    <n v="1"/>
    <n v="55"/>
    <x v="0"/>
    <n v="0"/>
    <x v="3"/>
    <n v="0.4395"/>
  </r>
  <r>
    <x v="987"/>
    <s v="Port Brittanyfurt"/>
    <n v="131946"/>
    <n v="795"/>
    <n v="43244"/>
    <n v="27"/>
    <n v="85"/>
    <x v="1"/>
    <n v="1"/>
    <x v="3"/>
    <n v="0.4395"/>
  </r>
  <r>
    <x v="988"/>
    <s v="South Lisa"/>
    <n v="137387"/>
    <n v="320"/>
    <n v="26807"/>
    <n v="35"/>
    <n v="55"/>
    <x v="0"/>
    <n v="0"/>
    <x v="0"/>
    <n v="0.4395"/>
  </r>
  <r>
    <x v="989"/>
    <s v="New Maryside"/>
    <n v="51465"/>
    <n v="427"/>
    <n v="14596"/>
    <n v="7"/>
    <n v="35"/>
    <x v="0"/>
    <n v="0"/>
    <x v="0"/>
    <n v="0.4395"/>
  </r>
  <r>
    <x v="990"/>
    <s v="Mcbrideville"/>
    <n v="70768"/>
    <n v="340"/>
    <n v="9442"/>
    <n v="36"/>
    <n v="45"/>
    <x v="0"/>
    <n v="0"/>
    <x v="0"/>
    <n v="0.4395"/>
  </r>
  <r>
    <x v="991"/>
    <s v="North Tinahaven"/>
    <n v="44168"/>
    <n v="605"/>
    <n v="24826"/>
    <n v="34"/>
    <n v="40"/>
    <x v="0"/>
    <n v="0"/>
    <x v="1"/>
    <n v="0.4395"/>
  </r>
  <r>
    <x v="992"/>
    <s v="West Brandon"/>
    <n v="105849"/>
    <n v="831"/>
    <n v="20228"/>
    <n v="34"/>
    <n v="95"/>
    <x v="1"/>
    <n v="1"/>
    <x v="3"/>
    <n v="0.4395"/>
  </r>
  <r>
    <x v="993"/>
    <s v="Catherinehaven"/>
    <n v="33365"/>
    <n v="514"/>
    <n v="46084"/>
    <n v="6"/>
    <n v="20"/>
    <x v="0"/>
    <n v="0"/>
    <x v="2"/>
    <n v="0.4395"/>
  </r>
  <r>
    <x v="994"/>
    <s v="West Melissa"/>
    <n v="70888"/>
    <n v="520"/>
    <n v="9795"/>
    <n v="38"/>
    <n v="45"/>
    <x v="0"/>
    <n v="0"/>
    <x v="2"/>
    <n v="0.4395"/>
  </r>
  <r>
    <x v="995"/>
    <s v="Jonesview"/>
    <n v="105470"/>
    <n v="566"/>
    <n v="26020"/>
    <n v="10"/>
    <n v="55"/>
    <x v="0"/>
    <n v="0"/>
    <x v="2"/>
    <n v="0.4395"/>
  </r>
  <r>
    <x v="996"/>
    <s v="Bentleyberg"/>
    <n v="118781"/>
    <n v="848"/>
    <n v="14353"/>
    <n v="4"/>
    <n v="85"/>
    <x v="1"/>
    <n v="1"/>
    <x v="3"/>
    <n v="0.4395"/>
  </r>
  <r>
    <x v="997"/>
    <s v="Lake Nathan"/>
    <n v="149016"/>
    <n v="823"/>
    <n v="40645"/>
    <n v="10"/>
    <n v="90"/>
    <x v="1"/>
    <n v="1"/>
    <x v="3"/>
    <n v="0.4395"/>
  </r>
  <r>
    <x v="998"/>
    <s v="Graybury"/>
    <n v="79192"/>
    <n v="379"/>
    <n v="18702"/>
    <n v="7"/>
    <n v="45"/>
    <x v="0"/>
    <n v="0"/>
    <x v="0"/>
    <n v="0.4395"/>
  </r>
  <r>
    <x v="999"/>
    <s v="Daniellestad"/>
    <n v="81990"/>
    <n v="641"/>
    <n v="18907"/>
    <n v="9"/>
    <n v="60"/>
    <x v="1"/>
    <n v="1"/>
    <x v="1"/>
    <n v="0.4395"/>
  </r>
  <r>
    <x v="1000"/>
    <s v="Pettybury"/>
    <n v="123718"/>
    <n v="687"/>
    <n v="7881"/>
    <n v="7"/>
    <n v="80"/>
    <x v="1"/>
    <n v="1"/>
    <x v="1"/>
    <n v="0.4395"/>
  </r>
  <r>
    <x v="1001"/>
    <s v="Davisstad"/>
    <n v="55995"/>
    <n v="588"/>
    <n v="37145"/>
    <n v="17"/>
    <n v="50"/>
    <x v="0"/>
    <n v="0"/>
    <x v="2"/>
    <n v="0.4395"/>
  </r>
  <r>
    <x v="1002"/>
    <s v="Whiteside"/>
    <n v="39961"/>
    <n v="712"/>
    <n v="32251"/>
    <n v="37"/>
    <n v="50"/>
    <x v="0"/>
    <n v="0"/>
    <x v="1"/>
    <n v="0.4395"/>
  </r>
  <r>
    <x v="1003"/>
    <s v="Lake David"/>
    <n v="107607"/>
    <n v="687"/>
    <n v="38195"/>
    <n v="17"/>
    <n v="75"/>
    <x v="1"/>
    <n v="1"/>
    <x v="1"/>
    <n v="0.4395"/>
  </r>
  <r>
    <x v="1004"/>
    <s v="Lake Charlotte"/>
    <n v="120520"/>
    <n v="768"/>
    <n v="12999"/>
    <n v="28"/>
    <n v="90"/>
    <x v="1"/>
    <n v="1"/>
    <x v="3"/>
    <n v="0.4395"/>
  </r>
  <r>
    <x v="1005"/>
    <s v="Meyerbury"/>
    <n v="138864"/>
    <n v="612"/>
    <n v="42656"/>
    <n v="5"/>
    <n v="60"/>
    <x v="1"/>
    <n v="1"/>
    <x v="1"/>
    <n v="0.4395"/>
  </r>
  <r>
    <x v="1006"/>
    <s v="Lake Christopherbury"/>
    <n v="112213"/>
    <n v="395"/>
    <n v="11820"/>
    <n v="36"/>
    <n v="55"/>
    <x v="0"/>
    <n v="0"/>
    <x v="0"/>
    <n v="0.4395"/>
  </r>
  <r>
    <x v="1007"/>
    <s v="Stokestown"/>
    <n v="61830"/>
    <n v="734"/>
    <n v="45370"/>
    <n v="32"/>
    <n v="60"/>
    <x v="1"/>
    <n v="1"/>
    <x v="1"/>
    <n v="0.4395"/>
  </r>
  <r>
    <x v="1008"/>
    <s v="South Alexanderborough"/>
    <n v="43356"/>
    <n v="307"/>
    <n v="47803"/>
    <n v="27"/>
    <n v="25"/>
    <x v="0"/>
    <n v="0"/>
    <x v="0"/>
    <n v="0.4395"/>
  </r>
  <r>
    <x v="1009"/>
    <s v="New Shaneburgh"/>
    <n v="121382"/>
    <n v="836"/>
    <n v="15750"/>
    <n v="11"/>
    <n v="95"/>
    <x v="1"/>
    <n v="1"/>
    <x v="3"/>
    <n v="0.4395"/>
  </r>
  <r>
    <x v="1010"/>
    <s v="South Tylerburgh"/>
    <n v="131250"/>
    <n v="682"/>
    <n v="8420"/>
    <n v="21"/>
    <n v="85"/>
    <x v="1"/>
    <n v="1"/>
    <x v="1"/>
    <n v="0.4395"/>
  </r>
  <r>
    <x v="1011"/>
    <s v="West Kevinport"/>
    <n v="69529"/>
    <n v="571"/>
    <n v="14963"/>
    <n v="0"/>
    <n v="30"/>
    <x v="0"/>
    <n v="0"/>
    <x v="2"/>
    <n v="0.4395"/>
  </r>
  <r>
    <x v="1012"/>
    <s v="Sarahhaven"/>
    <n v="141449"/>
    <n v="336"/>
    <n v="31346"/>
    <n v="39"/>
    <n v="55"/>
    <x v="0"/>
    <n v="0"/>
    <x v="0"/>
    <n v="0.4395"/>
  </r>
  <r>
    <x v="1013"/>
    <s v="Murphystad"/>
    <n v="119687"/>
    <n v="409"/>
    <n v="1337"/>
    <n v="22"/>
    <n v="60"/>
    <x v="1"/>
    <n v="1"/>
    <x v="0"/>
    <n v="0.4395"/>
  </r>
  <r>
    <x v="1014"/>
    <s v="South Travisland"/>
    <n v="108697"/>
    <n v="841"/>
    <n v="34706"/>
    <n v="9"/>
    <n v="85"/>
    <x v="1"/>
    <n v="1"/>
    <x v="3"/>
    <n v="0.4395"/>
  </r>
  <r>
    <x v="1015"/>
    <s v="Jeremyfurt"/>
    <n v="135582"/>
    <n v="683"/>
    <n v="20613"/>
    <n v="23"/>
    <n v="80"/>
    <x v="1"/>
    <n v="1"/>
    <x v="1"/>
    <n v="0.4395"/>
  </r>
  <r>
    <x v="1016"/>
    <s v="South Dianamouth"/>
    <n v="45866"/>
    <n v="465"/>
    <n v="10166"/>
    <n v="22"/>
    <n v="35"/>
    <x v="0"/>
    <n v="0"/>
    <x v="2"/>
    <n v="0.4395"/>
  </r>
  <r>
    <x v="1017"/>
    <s v="North Jake"/>
    <n v="134363"/>
    <n v="341"/>
    <n v="9760"/>
    <n v="25"/>
    <n v="60"/>
    <x v="1"/>
    <n v="1"/>
    <x v="0"/>
    <n v="0.4395"/>
  </r>
  <r>
    <x v="1018"/>
    <s v="South Susan"/>
    <n v="104177"/>
    <n v="572"/>
    <n v="8785"/>
    <n v="26"/>
    <n v="60"/>
    <x v="1"/>
    <n v="1"/>
    <x v="2"/>
    <n v="0.4395"/>
  </r>
  <r>
    <x v="1019"/>
    <s v="Shawfurt"/>
    <n v="132581"/>
    <n v="434"/>
    <n v="8191"/>
    <n v="6"/>
    <n v="55"/>
    <x v="0"/>
    <n v="0"/>
    <x v="0"/>
    <n v="0.4395"/>
  </r>
  <r>
    <x v="1020"/>
    <s v="Port Gabrielleton"/>
    <n v="35383"/>
    <n v="650"/>
    <n v="29158"/>
    <n v="38"/>
    <n v="40"/>
    <x v="0"/>
    <n v="0"/>
    <x v="1"/>
    <n v="0.4395"/>
  </r>
  <r>
    <x v="1021"/>
    <s v="Millerchester"/>
    <n v="75508"/>
    <n v="553"/>
    <n v="41475"/>
    <n v="9"/>
    <n v="35"/>
    <x v="0"/>
    <n v="0"/>
    <x v="2"/>
    <n v="0.4395"/>
  </r>
  <r>
    <x v="1022"/>
    <s v="Port Josephbury"/>
    <n v="99827"/>
    <n v="739"/>
    <n v="14003"/>
    <n v="30"/>
    <n v="75"/>
    <x v="1"/>
    <n v="1"/>
    <x v="1"/>
    <n v="0.4395"/>
  </r>
  <r>
    <x v="1023"/>
    <s v="East Victoria"/>
    <n v="86148"/>
    <n v="452"/>
    <n v="16032"/>
    <n v="7"/>
    <n v="45"/>
    <x v="0"/>
    <n v="0"/>
    <x v="2"/>
    <n v="0.4395"/>
  </r>
  <r>
    <x v="1024"/>
    <s v="South Andres"/>
    <n v="116706"/>
    <n v="504"/>
    <n v="6959"/>
    <n v="3"/>
    <n v="50"/>
    <x v="0"/>
    <n v="0"/>
    <x v="2"/>
    <n v="0.4395"/>
  </r>
  <r>
    <x v="1025"/>
    <s v="East Matthew"/>
    <n v="78571"/>
    <n v="790"/>
    <n v="5020"/>
    <n v="32"/>
    <n v="90"/>
    <x v="1"/>
    <n v="1"/>
    <x v="3"/>
    <n v="0.4395"/>
  </r>
  <r>
    <x v="1026"/>
    <s v="Juanstad"/>
    <n v="39038"/>
    <n v="728"/>
    <n v="17185"/>
    <n v="20"/>
    <n v="50"/>
    <x v="0"/>
    <n v="0"/>
    <x v="1"/>
    <n v="0.4395"/>
  </r>
  <r>
    <x v="1027"/>
    <s v="Jasonfort"/>
    <n v="96317"/>
    <n v="586"/>
    <n v="40749"/>
    <n v="6"/>
    <n v="50"/>
    <x v="0"/>
    <n v="0"/>
    <x v="2"/>
    <n v="0.4395"/>
  </r>
  <r>
    <x v="1028"/>
    <s v="Kevinville"/>
    <n v="114874"/>
    <n v="313"/>
    <n v="45758"/>
    <n v="35"/>
    <n v="50"/>
    <x v="0"/>
    <n v="0"/>
    <x v="0"/>
    <n v="0.4395"/>
  </r>
  <r>
    <x v="1029"/>
    <s v="Juliashire"/>
    <n v="74725"/>
    <n v="841"/>
    <n v="40630"/>
    <n v="23"/>
    <n v="75"/>
    <x v="1"/>
    <n v="1"/>
    <x v="3"/>
    <n v="0.4395"/>
  </r>
  <r>
    <x v="1030"/>
    <s v="North Davidville"/>
    <n v="31658"/>
    <n v="342"/>
    <n v="39440"/>
    <n v="12"/>
    <n v="25"/>
    <x v="0"/>
    <n v="0"/>
    <x v="0"/>
    <n v="0.4395"/>
  </r>
  <r>
    <x v="1031"/>
    <s v="Kevinfort"/>
    <n v="141355"/>
    <n v="506"/>
    <n v="35967"/>
    <n v="9"/>
    <n v="45"/>
    <x v="0"/>
    <n v="0"/>
    <x v="2"/>
    <n v="0.4395"/>
  </r>
  <r>
    <x v="1032"/>
    <s v="Patriciaside"/>
    <n v="85057"/>
    <n v="655"/>
    <n v="24986"/>
    <n v="28"/>
    <n v="60"/>
    <x v="1"/>
    <n v="1"/>
    <x v="1"/>
    <n v="0.4395"/>
  </r>
  <r>
    <x v="1033"/>
    <s v="Barneshaven"/>
    <n v="137784"/>
    <n v="322"/>
    <n v="11940"/>
    <n v="38"/>
    <n v="60"/>
    <x v="1"/>
    <n v="1"/>
    <x v="0"/>
    <n v="0.4395"/>
  </r>
  <r>
    <x v="1034"/>
    <s v="Port Teresaborough"/>
    <n v="94251"/>
    <n v="707"/>
    <n v="33442"/>
    <n v="34"/>
    <n v="70"/>
    <x v="1"/>
    <n v="1"/>
    <x v="1"/>
    <n v="0.4395"/>
  </r>
  <r>
    <x v="1035"/>
    <s v="Hartfurt"/>
    <n v="43833"/>
    <n v="710"/>
    <n v="40794"/>
    <n v="17"/>
    <n v="50"/>
    <x v="0"/>
    <n v="0"/>
    <x v="1"/>
    <n v="0.4395"/>
  </r>
  <r>
    <x v="1036"/>
    <s v="Port Williamhaven"/>
    <n v="86822"/>
    <n v="837"/>
    <n v="17962"/>
    <n v="19"/>
    <n v="90"/>
    <x v="1"/>
    <n v="1"/>
    <x v="3"/>
    <n v="0.4395"/>
  </r>
  <r>
    <x v="1037"/>
    <s v="East Jeffreyside"/>
    <n v="77472"/>
    <n v="543"/>
    <n v="20126"/>
    <n v="2"/>
    <n v="35"/>
    <x v="0"/>
    <n v="0"/>
    <x v="2"/>
    <n v="0.4395"/>
  </r>
  <r>
    <x v="1038"/>
    <s v="West Morgan"/>
    <n v="113307"/>
    <n v="352"/>
    <n v="43101"/>
    <n v="15"/>
    <n v="50"/>
    <x v="0"/>
    <n v="0"/>
    <x v="0"/>
    <n v="0.4395"/>
  </r>
  <r>
    <x v="1039"/>
    <s v="Markside"/>
    <n v="146860"/>
    <n v="570"/>
    <n v="48322"/>
    <n v="8"/>
    <n v="45"/>
    <x v="0"/>
    <n v="0"/>
    <x v="2"/>
    <n v="0.4395"/>
  </r>
  <r>
    <x v="1040"/>
    <s v="Lake Lisastad"/>
    <n v="138620"/>
    <n v="524"/>
    <n v="48872"/>
    <n v="17"/>
    <n v="50"/>
    <x v="0"/>
    <n v="0"/>
    <x v="2"/>
    <n v="0.4395"/>
  </r>
  <r>
    <x v="1041"/>
    <s v="Lake Juliefurt"/>
    <n v="90258"/>
    <n v="563"/>
    <n v="42040"/>
    <n v="40"/>
    <n v="40"/>
    <x v="0"/>
    <n v="0"/>
    <x v="2"/>
    <n v="0.4395"/>
  </r>
  <r>
    <x v="1042"/>
    <s v="Josephshire"/>
    <n v="122708"/>
    <n v="704"/>
    <n v="11200"/>
    <n v="28"/>
    <n v="85"/>
    <x v="1"/>
    <n v="1"/>
    <x v="1"/>
    <n v="0.4395"/>
  </r>
  <r>
    <x v="1043"/>
    <s v="Davisburgh"/>
    <n v="50052"/>
    <n v="770"/>
    <n v="13125"/>
    <n v="11"/>
    <n v="75"/>
    <x v="1"/>
    <n v="1"/>
    <x v="3"/>
    <n v="0.4395"/>
  </r>
  <r>
    <x v="1044"/>
    <s v="Andrewburgh"/>
    <n v="87080"/>
    <n v="481"/>
    <n v="26834"/>
    <n v="38"/>
    <n v="45"/>
    <x v="0"/>
    <n v="0"/>
    <x v="2"/>
    <n v="0.4395"/>
  </r>
  <r>
    <x v="1045"/>
    <s v="Stoutfurt"/>
    <n v="53086"/>
    <n v="402"/>
    <n v="48468"/>
    <n v="33"/>
    <n v="35"/>
    <x v="0"/>
    <n v="0"/>
    <x v="0"/>
    <n v="0.4395"/>
  </r>
  <r>
    <x v="1046"/>
    <s v="South Patrickville"/>
    <n v="126180"/>
    <n v="313"/>
    <n v="43236"/>
    <n v="2"/>
    <n v="40"/>
    <x v="0"/>
    <n v="0"/>
    <x v="0"/>
    <n v="0.4395"/>
  </r>
  <r>
    <x v="1047"/>
    <s v="Port Tammyville"/>
    <n v="98386"/>
    <n v="646"/>
    <n v="47363"/>
    <n v="5"/>
    <n v="50"/>
    <x v="0"/>
    <n v="0"/>
    <x v="1"/>
    <n v="0.4395"/>
  </r>
  <r>
    <x v="1048"/>
    <s v="Ochoaport"/>
    <n v="115256"/>
    <n v="639"/>
    <n v="32385"/>
    <n v="9"/>
    <n v="60"/>
    <x v="1"/>
    <n v="1"/>
    <x v="1"/>
    <n v="0.4395"/>
  </r>
  <r>
    <x v="1049"/>
    <s v="North Malloryville"/>
    <n v="65400"/>
    <n v="603"/>
    <n v="7721"/>
    <n v="32"/>
    <n v="60"/>
    <x v="1"/>
    <n v="1"/>
    <x v="1"/>
    <n v="0.4395"/>
  </r>
  <r>
    <x v="1050"/>
    <s v="North Jeremy"/>
    <n v="110728"/>
    <n v="694"/>
    <n v="10658"/>
    <n v="22"/>
    <n v="85"/>
    <x v="1"/>
    <n v="1"/>
    <x v="1"/>
    <n v="0.4395"/>
  </r>
  <r>
    <x v="1051"/>
    <s v="Mcdanielville"/>
    <n v="135932"/>
    <n v="803"/>
    <n v="12112"/>
    <n v="7"/>
    <n v="95"/>
    <x v="1"/>
    <n v="1"/>
    <x v="3"/>
    <n v="0.4395"/>
  </r>
  <r>
    <x v="1052"/>
    <s v="New Matthewstad"/>
    <n v="100539"/>
    <n v="386"/>
    <n v="3840"/>
    <n v="38"/>
    <n v="60"/>
    <x v="1"/>
    <n v="1"/>
    <x v="0"/>
    <n v="0.4395"/>
  </r>
  <r>
    <x v="1053"/>
    <s v="Lake Ronald"/>
    <n v="131533"/>
    <n v="608"/>
    <n v="41944"/>
    <n v="18"/>
    <n v="65"/>
    <x v="1"/>
    <n v="1"/>
    <x v="1"/>
    <n v="0.4395"/>
  </r>
  <r>
    <x v="1054"/>
    <s v="Sarahland"/>
    <n v="93372"/>
    <n v="302"/>
    <n v="10741"/>
    <n v="9"/>
    <n v="45"/>
    <x v="0"/>
    <n v="0"/>
    <x v="0"/>
    <n v="0.4395"/>
  </r>
  <r>
    <x v="1055"/>
    <s v="Briggsville"/>
    <n v="90931"/>
    <n v="737"/>
    <n v="48625"/>
    <n v="17"/>
    <n v="65"/>
    <x v="1"/>
    <n v="1"/>
    <x v="1"/>
    <n v="0.4395"/>
  </r>
  <r>
    <x v="1056"/>
    <s v="Gomezfort"/>
    <n v="87091"/>
    <n v="734"/>
    <n v="32541"/>
    <n v="26"/>
    <n v="70"/>
    <x v="1"/>
    <n v="1"/>
    <x v="1"/>
    <n v="0.4395"/>
  </r>
  <r>
    <x v="1057"/>
    <s v="South Robert"/>
    <n v="138230"/>
    <n v="809"/>
    <n v="36307"/>
    <n v="34"/>
    <n v="90"/>
    <x v="1"/>
    <n v="1"/>
    <x v="3"/>
    <n v="0.4395"/>
  </r>
  <r>
    <x v="1058"/>
    <s v="Rosebury"/>
    <n v="125817"/>
    <n v="389"/>
    <n v="16413"/>
    <n v="23"/>
    <n v="55"/>
    <x v="0"/>
    <n v="0"/>
    <x v="0"/>
    <n v="0.4395"/>
  </r>
  <r>
    <x v="1059"/>
    <s v="Rosarioville"/>
    <n v="107656"/>
    <n v="361"/>
    <n v="23894"/>
    <n v="23"/>
    <n v="55"/>
    <x v="0"/>
    <n v="0"/>
    <x v="0"/>
    <n v="0.4395"/>
  </r>
  <r>
    <x v="1060"/>
    <s v="Stevenside"/>
    <n v="65179"/>
    <n v="731"/>
    <n v="16892"/>
    <n v="13"/>
    <n v="65"/>
    <x v="1"/>
    <n v="1"/>
    <x v="1"/>
    <n v="0.4395"/>
  </r>
  <r>
    <x v="1061"/>
    <s v="South Jessica"/>
    <n v="72245"/>
    <n v="734"/>
    <n v="25358"/>
    <n v="3"/>
    <n v="55"/>
    <x v="0"/>
    <n v="0"/>
    <x v="1"/>
    <n v="0.4395"/>
  </r>
  <r>
    <x v="1062"/>
    <s v="North Dylan"/>
    <n v="141635"/>
    <n v="444"/>
    <n v="6176"/>
    <n v="15"/>
    <n v="60"/>
    <x v="1"/>
    <n v="1"/>
    <x v="0"/>
    <n v="0.4395"/>
  </r>
  <r>
    <x v="1063"/>
    <s v="Port Ian"/>
    <n v="62177"/>
    <n v="443"/>
    <n v="35566"/>
    <n v="19"/>
    <n v="35"/>
    <x v="0"/>
    <n v="0"/>
    <x v="0"/>
    <n v="0.4395"/>
  </r>
  <r>
    <x v="1064"/>
    <s v="West Danielton"/>
    <n v="138885"/>
    <n v="332"/>
    <n v="40595"/>
    <n v="11"/>
    <n v="50"/>
    <x v="0"/>
    <n v="0"/>
    <x v="0"/>
    <n v="0.4395"/>
  </r>
  <r>
    <x v="1065"/>
    <s v="Spencerview"/>
    <n v="41359"/>
    <n v="813"/>
    <n v="21056"/>
    <n v="14"/>
    <n v="65"/>
    <x v="1"/>
    <n v="1"/>
    <x v="3"/>
    <n v="0.4395"/>
  </r>
  <r>
    <x v="1066"/>
    <s v="Spenceberg"/>
    <n v="66559"/>
    <n v="516"/>
    <n v="27240"/>
    <n v="39"/>
    <n v="35"/>
    <x v="0"/>
    <n v="0"/>
    <x v="2"/>
    <n v="0.4395"/>
  </r>
  <r>
    <x v="1067"/>
    <s v="Port Heatherfort"/>
    <n v="145557"/>
    <n v="620"/>
    <n v="43775"/>
    <n v="25"/>
    <n v="65"/>
    <x v="1"/>
    <n v="1"/>
    <x v="1"/>
    <n v="0.4395"/>
  </r>
  <r>
    <x v="1068"/>
    <s v="Leeville"/>
    <n v="89087"/>
    <n v="406"/>
    <n v="6099"/>
    <n v="23"/>
    <n v="55"/>
    <x v="0"/>
    <n v="0"/>
    <x v="0"/>
    <n v="0.4395"/>
  </r>
  <r>
    <x v="1069"/>
    <s v="Franciscoville"/>
    <n v="61963"/>
    <n v="366"/>
    <n v="14887"/>
    <n v="38"/>
    <n v="45"/>
    <x v="0"/>
    <n v="0"/>
    <x v="0"/>
    <n v="0.4395"/>
  </r>
  <r>
    <x v="1070"/>
    <s v="Lake Sarah"/>
    <n v="128366"/>
    <n v="546"/>
    <n v="18640"/>
    <n v="5"/>
    <n v="50"/>
    <x v="0"/>
    <n v="0"/>
    <x v="2"/>
    <n v="0.4395"/>
  </r>
  <r>
    <x v="1071"/>
    <s v="Williamsmouth"/>
    <n v="90910"/>
    <n v="395"/>
    <n v="21224"/>
    <n v="0"/>
    <n v="35"/>
    <x v="0"/>
    <n v="0"/>
    <x v="0"/>
    <n v="0.4395"/>
  </r>
  <r>
    <x v="1072"/>
    <s v="Karenstad"/>
    <n v="104691"/>
    <n v="432"/>
    <n v="47049"/>
    <n v="6"/>
    <n v="40"/>
    <x v="0"/>
    <n v="0"/>
    <x v="0"/>
    <n v="0.4395"/>
  </r>
  <r>
    <x v="1073"/>
    <s v="North Brenda"/>
    <n v="109997"/>
    <n v="691"/>
    <n v="32257"/>
    <n v="37"/>
    <n v="75"/>
    <x v="1"/>
    <n v="1"/>
    <x v="1"/>
    <n v="0.4395"/>
  </r>
  <r>
    <x v="1074"/>
    <s v="Millerland"/>
    <n v="117580"/>
    <n v="537"/>
    <n v="15132"/>
    <n v="9"/>
    <n v="50"/>
    <x v="0"/>
    <n v="0"/>
    <x v="2"/>
    <n v="0.4395"/>
  </r>
  <r>
    <x v="1075"/>
    <s v="Sethberg"/>
    <n v="79674"/>
    <n v="647"/>
    <n v="20060"/>
    <n v="23"/>
    <n v="60"/>
    <x v="1"/>
    <n v="1"/>
    <x v="1"/>
    <n v="0.4395"/>
  </r>
  <r>
    <x v="1076"/>
    <s v="Allenland"/>
    <n v="74092"/>
    <n v="456"/>
    <n v="38152"/>
    <n v="40"/>
    <n v="35"/>
    <x v="0"/>
    <n v="0"/>
    <x v="2"/>
    <n v="0.4395"/>
  </r>
  <r>
    <x v="1077"/>
    <s v="Amyland"/>
    <n v="33761"/>
    <n v="810"/>
    <n v="7167"/>
    <n v="29"/>
    <n v="75"/>
    <x v="1"/>
    <n v="1"/>
    <x v="3"/>
    <n v="0.4395"/>
  </r>
  <r>
    <x v="1078"/>
    <s v="Barbarastad"/>
    <n v="94789"/>
    <n v="391"/>
    <n v="5661"/>
    <n v="11"/>
    <n v="55"/>
    <x v="0"/>
    <n v="0"/>
    <x v="0"/>
    <n v="0.4395"/>
  </r>
  <r>
    <x v="1079"/>
    <s v="Kathrynmouth"/>
    <n v="141536"/>
    <n v="443"/>
    <n v="9124"/>
    <n v="36"/>
    <n v="60"/>
    <x v="1"/>
    <n v="1"/>
    <x v="0"/>
    <n v="0.4395"/>
  </r>
  <r>
    <x v="1080"/>
    <s v="South Michael"/>
    <n v="72600"/>
    <n v="621"/>
    <n v="25489"/>
    <n v="5"/>
    <n v="50"/>
    <x v="0"/>
    <n v="0"/>
    <x v="1"/>
    <n v="0.4395"/>
  </r>
  <r>
    <x v="1081"/>
    <s v="New Tiffanyton"/>
    <n v="53834"/>
    <n v="550"/>
    <n v="46858"/>
    <n v="35"/>
    <n v="35"/>
    <x v="0"/>
    <n v="0"/>
    <x v="2"/>
    <n v="0.4395"/>
  </r>
  <r>
    <x v="1082"/>
    <s v="New Reginald"/>
    <n v="93904"/>
    <n v="374"/>
    <n v="15617"/>
    <n v="24"/>
    <n v="50"/>
    <x v="0"/>
    <n v="0"/>
    <x v="0"/>
    <n v="0.4395"/>
  </r>
  <r>
    <x v="1083"/>
    <s v="Daymouth"/>
    <n v="57802"/>
    <n v="411"/>
    <n v="6624"/>
    <n v="11"/>
    <n v="45"/>
    <x v="0"/>
    <n v="0"/>
    <x v="0"/>
    <n v="0.4395"/>
  </r>
  <r>
    <x v="1084"/>
    <s v="Gonzalezmouth"/>
    <n v="76507"/>
    <n v="366"/>
    <n v="21793"/>
    <n v="21"/>
    <n v="45"/>
    <x v="0"/>
    <n v="0"/>
    <x v="0"/>
    <n v="0.4395"/>
  </r>
  <r>
    <x v="1085"/>
    <s v="Shawnside"/>
    <n v="134573"/>
    <n v="459"/>
    <n v="31799"/>
    <n v="9"/>
    <n v="50"/>
    <x v="0"/>
    <n v="0"/>
    <x v="2"/>
    <n v="0.4395"/>
  </r>
  <r>
    <x v="1086"/>
    <s v="Brownstad"/>
    <n v="63862"/>
    <n v="740"/>
    <n v="32025"/>
    <n v="13"/>
    <n v="70"/>
    <x v="1"/>
    <n v="1"/>
    <x v="1"/>
    <n v="0.4395"/>
  </r>
  <r>
    <x v="1087"/>
    <s v="Nelsonburgh"/>
    <n v="74608"/>
    <n v="385"/>
    <n v="10288"/>
    <n v="4"/>
    <n v="35"/>
    <x v="0"/>
    <n v="0"/>
    <x v="0"/>
    <n v="0.4395"/>
  </r>
  <r>
    <x v="1088"/>
    <s v="Savagehaven"/>
    <n v="66655"/>
    <n v="519"/>
    <n v="44885"/>
    <n v="16"/>
    <n v="35"/>
    <x v="0"/>
    <n v="0"/>
    <x v="2"/>
    <n v="0.4395"/>
  </r>
  <r>
    <x v="1089"/>
    <s v="Petersonport"/>
    <n v="145385"/>
    <n v="468"/>
    <n v="14015"/>
    <n v="22"/>
    <n v="60"/>
    <x v="1"/>
    <n v="1"/>
    <x v="2"/>
    <n v="0.4395"/>
  </r>
  <r>
    <x v="1090"/>
    <s v="Lake Samuel"/>
    <n v="108139"/>
    <n v="698"/>
    <n v="1650"/>
    <n v="35"/>
    <n v="85"/>
    <x v="1"/>
    <n v="1"/>
    <x v="1"/>
    <n v="0.4395"/>
  </r>
  <r>
    <x v="1091"/>
    <s v="West Elizabeth"/>
    <n v="121905"/>
    <n v="624"/>
    <n v="1929"/>
    <n v="9"/>
    <n v="70"/>
    <x v="1"/>
    <n v="1"/>
    <x v="1"/>
    <n v="0.4395"/>
  </r>
  <r>
    <x v="1092"/>
    <s v="Danielchester"/>
    <n v="145357"/>
    <n v="569"/>
    <n v="35124"/>
    <n v="0"/>
    <n v="40"/>
    <x v="0"/>
    <n v="0"/>
    <x v="2"/>
    <n v="0.4395"/>
  </r>
  <r>
    <x v="1093"/>
    <s v="North Jefferyborough"/>
    <n v="66211"/>
    <n v="730"/>
    <n v="46642"/>
    <n v="34"/>
    <n v="60"/>
    <x v="1"/>
    <n v="1"/>
    <x v="1"/>
    <n v="0.4395"/>
  </r>
  <r>
    <x v="1094"/>
    <s v="East Teresa"/>
    <n v="102848"/>
    <n v="314"/>
    <n v="25265"/>
    <n v="23"/>
    <n v="55"/>
    <x v="0"/>
    <n v="0"/>
    <x v="0"/>
    <n v="0.4395"/>
  </r>
  <r>
    <x v="1095"/>
    <s v="Lake Victormouth"/>
    <n v="31330"/>
    <n v="723"/>
    <n v="27895"/>
    <n v="22"/>
    <n v="50"/>
    <x v="0"/>
    <n v="0"/>
    <x v="1"/>
    <n v="0.4395"/>
  </r>
  <r>
    <x v="1096"/>
    <s v="Danielburgh"/>
    <n v="97715"/>
    <n v="769"/>
    <n v="29074"/>
    <n v="23"/>
    <n v="80"/>
    <x v="1"/>
    <n v="1"/>
    <x v="3"/>
    <n v="0.4395"/>
  </r>
  <r>
    <x v="1097"/>
    <s v="Mitchellchester"/>
    <n v="55042"/>
    <n v="590"/>
    <n v="47012"/>
    <n v="39"/>
    <n v="50"/>
    <x v="0"/>
    <n v="0"/>
    <x v="2"/>
    <n v="0.4395"/>
  </r>
  <r>
    <x v="1098"/>
    <s v="Port Maryland"/>
    <n v="41221"/>
    <n v="316"/>
    <n v="41387"/>
    <n v="26"/>
    <n v="25"/>
    <x v="0"/>
    <n v="0"/>
    <x v="0"/>
    <n v="0.4395"/>
  </r>
  <r>
    <x v="1099"/>
    <s v="Lake Seanshire"/>
    <n v="61635"/>
    <n v="333"/>
    <n v="44759"/>
    <n v="18"/>
    <n v="35"/>
    <x v="0"/>
    <n v="0"/>
    <x v="0"/>
    <n v="0.4395"/>
  </r>
  <r>
    <x v="1100"/>
    <s v="Wilsonfort"/>
    <n v="124381"/>
    <n v="427"/>
    <n v="23977"/>
    <n v="29"/>
    <n v="55"/>
    <x v="0"/>
    <n v="0"/>
    <x v="0"/>
    <n v="0.4395"/>
  </r>
  <r>
    <x v="1101"/>
    <s v="Smithstad"/>
    <n v="83271"/>
    <n v="529"/>
    <n v="34263"/>
    <n v="18"/>
    <n v="40"/>
    <x v="0"/>
    <n v="0"/>
    <x v="2"/>
    <n v="0.4395"/>
  </r>
  <r>
    <x v="1102"/>
    <s v="Nuneztown"/>
    <n v="94038"/>
    <n v="724"/>
    <n v="3141"/>
    <n v="0"/>
    <n v="65"/>
    <x v="1"/>
    <n v="1"/>
    <x v="1"/>
    <n v="0.4395"/>
  </r>
  <r>
    <x v="1103"/>
    <s v="Matthewshire"/>
    <n v="102768"/>
    <n v="740"/>
    <n v="16848"/>
    <n v="35"/>
    <n v="90"/>
    <x v="1"/>
    <n v="1"/>
    <x v="1"/>
    <n v="0.4395"/>
  </r>
  <r>
    <x v="1104"/>
    <s v="Port Sarahchester"/>
    <n v="129374"/>
    <n v="431"/>
    <n v="42698"/>
    <n v="24"/>
    <n v="50"/>
    <x v="0"/>
    <n v="0"/>
    <x v="0"/>
    <n v="0.4395"/>
  </r>
  <r>
    <x v="1105"/>
    <s v="South Jerry"/>
    <n v="61499"/>
    <n v="429"/>
    <n v="34046"/>
    <n v="7"/>
    <n v="30"/>
    <x v="0"/>
    <n v="0"/>
    <x v="0"/>
    <n v="0.4395"/>
  </r>
  <r>
    <x v="1106"/>
    <s v="Maryburgh"/>
    <n v="120519"/>
    <n v="630"/>
    <n v="14353"/>
    <n v="5"/>
    <n v="65"/>
    <x v="1"/>
    <n v="1"/>
    <x v="1"/>
    <n v="0.4395"/>
  </r>
  <r>
    <x v="1107"/>
    <s v="North Christine"/>
    <n v="92402"/>
    <n v="380"/>
    <n v="38473"/>
    <n v="24"/>
    <n v="40"/>
    <x v="0"/>
    <n v="0"/>
    <x v="0"/>
    <n v="0.4395"/>
  </r>
  <r>
    <x v="1108"/>
    <s v="Jacobbury"/>
    <n v="114659"/>
    <n v="604"/>
    <n v="13702"/>
    <n v="34"/>
    <n v="70"/>
    <x v="1"/>
    <n v="1"/>
    <x v="1"/>
    <n v="0.4395"/>
  </r>
  <r>
    <x v="1109"/>
    <s v="Townsendton"/>
    <n v="123302"/>
    <n v="581"/>
    <n v="6437"/>
    <n v="9"/>
    <n v="70"/>
    <x v="1"/>
    <n v="1"/>
    <x v="2"/>
    <n v="0.4395"/>
  </r>
  <r>
    <x v="1110"/>
    <s v="North Stephenville"/>
    <n v="94332"/>
    <n v="409"/>
    <n v="10295"/>
    <n v="18"/>
    <n v="50"/>
    <x v="0"/>
    <n v="0"/>
    <x v="0"/>
    <n v="0.4395"/>
  </r>
  <r>
    <x v="1111"/>
    <s v="Robertaborough"/>
    <n v="88743"/>
    <n v="700"/>
    <n v="7597"/>
    <n v="31"/>
    <n v="80"/>
    <x v="1"/>
    <n v="1"/>
    <x v="1"/>
    <n v="0.4395"/>
  </r>
  <r>
    <x v="1112"/>
    <s v="East Gracefurt"/>
    <n v="133931"/>
    <n v="621"/>
    <n v="42520"/>
    <n v="28"/>
    <n v="65"/>
    <x v="1"/>
    <n v="1"/>
    <x v="1"/>
    <n v="0.4395"/>
  </r>
  <r>
    <x v="1113"/>
    <s v="North Theresastad"/>
    <n v="32260"/>
    <n v="795"/>
    <n v="41239"/>
    <n v="38"/>
    <n v="60"/>
    <x v="1"/>
    <n v="1"/>
    <x v="3"/>
    <n v="0.4395"/>
  </r>
  <r>
    <x v="1114"/>
    <s v="East Catherineside"/>
    <n v="42196"/>
    <n v="323"/>
    <n v="34947"/>
    <n v="32"/>
    <n v="25"/>
    <x v="0"/>
    <n v="0"/>
    <x v="0"/>
    <n v="0.4395"/>
  </r>
  <r>
    <x v="1115"/>
    <s v="North Mark"/>
    <n v="68566"/>
    <n v="525"/>
    <n v="6468"/>
    <n v="8"/>
    <n v="45"/>
    <x v="0"/>
    <n v="0"/>
    <x v="2"/>
    <n v="0.4395"/>
  </r>
  <r>
    <x v="1116"/>
    <s v="Jeanport"/>
    <n v="59045"/>
    <n v="778"/>
    <n v="49837"/>
    <n v="31"/>
    <n v="70"/>
    <x v="1"/>
    <n v="1"/>
    <x v="3"/>
    <n v="0.4395"/>
  </r>
  <r>
    <x v="1117"/>
    <s v="Geraldview"/>
    <n v="83005"/>
    <n v="702"/>
    <n v="7743"/>
    <n v="37"/>
    <n v="80"/>
    <x v="1"/>
    <n v="1"/>
    <x v="1"/>
    <n v="0.4395"/>
  </r>
  <r>
    <x v="1118"/>
    <s v="Lake Tony"/>
    <n v="120673"/>
    <n v="756"/>
    <n v="28770"/>
    <n v="38"/>
    <n v="90"/>
    <x v="1"/>
    <n v="1"/>
    <x v="3"/>
    <n v="0.4395"/>
  </r>
  <r>
    <x v="1119"/>
    <s v="Pattersonshire"/>
    <n v="61890"/>
    <n v="661"/>
    <n v="25507"/>
    <n v="40"/>
    <n v="50"/>
    <x v="0"/>
    <n v="0"/>
    <x v="1"/>
    <n v="0.4395"/>
  </r>
  <r>
    <x v="1120"/>
    <s v="Brendaport"/>
    <n v="70135"/>
    <n v="843"/>
    <n v="24085"/>
    <n v="25"/>
    <n v="80"/>
    <x v="1"/>
    <n v="1"/>
    <x v="3"/>
    <n v="0.4395"/>
  </r>
  <r>
    <x v="1121"/>
    <s v="West John"/>
    <n v="117026"/>
    <n v="520"/>
    <n v="44054"/>
    <n v="23"/>
    <n v="50"/>
    <x v="0"/>
    <n v="0"/>
    <x v="2"/>
    <n v="0.4395"/>
  </r>
  <r>
    <x v="1122"/>
    <s v="Haleymouth"/>
    <n v="106225"/>
    <n v="518"/>
    <n v="31498"/>
    <n v="36"/>
    <n v="50"/>
    <x v="0"/>
    <n v="0"/>
    <x v="2"/>
    <n v="0.4395"/>
  </r>
  <r>
    <x v="1123"/>
    <s v="Campbellborough"/>
    <n v="78368"/>
    <n v="839"/>
    <n v="15251"/>
    <n v="6"/>
    <n v="85"/>
    <x v="1"/>
    <n v="1"/>
    <x v="3"/>
    <n v="0.4395"/>
  </r>
  <r>
    <x v="1124"/>
    <s v="New Patriciachester"/>
    <n v="92031"/>
    <n v="745"/>
    <n v="21826"/>
    <n v="20"/>
    <n v="85"/>
    <x v="1"/>
    <n v="1"/>
    <x v="1"/>
    <n v="0.4395"/>
  </r>
  <r>
    <x v="1125"/>
    <s v="West Robertville"/>
    <n v="102544"/>
    <n v="763"/>
    <n v="12215"/>
    <n v="38"/>
    <n v="90"/>
    <x v="1"/>
    <n v="1"/>
    <x v="3"/>
    <n v="0.4395"/>
  </r>
  <r>
    <x v="1126"/>
    <s v="Andrewshire"/>
    <n v="99588"/>
    <n v="304"/>
    <n v="31262"/>
    <n v="18"/>
    <n v="45"/>
    <x v="0"/>
    <n v="0"/>
    <x v="0"/>
    <n v="0.4395"/>
  </r>
  <r>
    <x v="1127"/>
    <s v="West Deannaland"/>
    <n v="75056"/>
    <n v="781"/>
    <n v="7233"/>
    <n v="26"/>
    <n v="90"/>
    <x v="1"/>
    <n v="1"/>
    <x v="3"/>
    <n v="0.4395"/>
  </r>
  <r>
    <x v="1128"/>
    <s v="Millermouth"/>
    <n v="85771"/>
    <n v="805"/>
    <n v="41129"/>
    <n v="3"/>
    <n v="70"/>
    <x v="1"/>
    <n v="1"/>
    <x v="3"/>
    <n v="0.4395"/>
  </r>
  <r>
    <x v="1129"/>
    <s v="Port Nathanielville"/>
    <n v="127771"/>
    <n v="329"/>
    <n v="15681"/>
    <n v="3"/>
    <n v="45"/>
    <x v="0"/>
    <n v="0"/>
    <x v="0"/>
    <n v="0.4395"/>
  </r>
  <r>
    <x v="1130"/>
    <s v="Perezland"/>
    <n v="102140"/>
    <n v="495"/>
    <n v="48455"/>
    <n v="23"/>
    <n v="45"/>
    <x v="0"/>
    <n v="0"/>
    <x v="2"/>
    <n v="0.4395"/>
  </r>
  <r>
    <x v="1131"/>
    <s v="North Brandonport"/>
    <n v="73357"/>
    <n v="376"/>
    <n v="18283"/>
    <n v="21"/>
    <n v="45"/>
    <x v="0"/>
    <n v="0"/>
    <x v="0"/>
    <n v="0.4395"/>
  </r>
  <r>
    <x v="1132"/>
    <s v="East Brandy"/>
    <n v="76112"/>
    <n v="422"/>
    <n v="9276"/>
    <n v="20"/>
    <n v="50"/>
    <x v="0"/>
    <n v="0"/>
    <x v="0"/>
    <n v="0.4395"/>
  </r>
  <r>
    <x v="1133"/>
    <s v="Walshville"/>
    <n v="122124"/>
    <n v="834"/>
    <n v="35576"/>
    <n v="15"/>
    <n v="90"/>
    <x v="1"/>
    <n v="1"/>
    <x v="3"/>
    <n v="0.4395"/>
  </r>
  <r>
    <x v="1134"/>
    <s v="Kendrafort"/>
    <n v="89473"/>
    <n v="531"/>
    <n v="7016"/>
    <n v="16"/>
    <n v="55"/>
    <x v="0"/>
    <n v="0"/>
    <x v="2"/>
    <n v="0.4395"/>
  </r>
  <r>
    <x v="1135"/>
    <s v="Lake Deborah"/>
    <n v="65509"/>
    <n v="510"/>
    <n v="46545"/>
    <n v="4"/>
    <n v="25"/>
    <x v="0"/>
    <n v="0"/>
    <x v="2"/>
    <n v="0.4395"/>
  </r>
  <r>
    <x v="1136"/>
    <s v="South Lori"/>
    <n v="70189"/>
    <n v="492"/>
    <n v="32958"/>
    <n v="6"/>
    <n v="30"/>
    <x v="0"/>
    <n v="0"/>
    <x v="2"/>
    <n v="0.4395"/>
  </r>
  <r>
    <x v="1137"/>
    <s v="Kathleenport"/>
    <n v="62951"/>
    <n v="764"/>
    <n v="43945"/>
    <n v="9"/>
    <n v="65"/>
    <x v="1"/>
    <n v="1"/>
    <x v="3"/>
    <n v="0.4395"/>
  </r>
  <r>
    <x v="1138"/>
    <s v="Paulmouth"/>
    <n v="60217"/>
    <n v="825"/>
    <n v="14305"/>
    <n v="25"/>
    <n v="85"/>
    <x v="1"/>
    <n v="1"/>
    <x v="3"/>
    <n v="0.4395"/>
  </r>
  <r>
    <x v="1139"/>
    <s v="Stephanieshire"/>
    <n v="45814"/>
    <n v="404"/>
    <n v="10652"/>
    <n v="29"/>
    <n v="35"/>
    <x v="0"/>
    <n v="0"/>
    <x v="0"/>
    <n v="0.4395"/>
  </r>
  <r>
    <x v="1140"/>
    <s v="Lopeztown"/>
    <n v="124540"/>
    <n v="787"/>
    <n v="44377"/>
    <n v="33"/>
    <n v="85"/>
    <x v="1"/>
    <n v="1"/>
    <x v="3"/>
    <n v="0.4395"/>
  </r>
  <r>
    <x v="1141"/>
    <s v="West Ryanberg"/>
    <n v="55242"/>
    <n v="706"/>
    <n v="33911"/>
    <n v="27"/>
    <n v="60"/>
    <x v="1"/>
    <n v="1"/>
    <x v="1"/>
    <n v="0.4395"/>
  </r>
  <r>
    <x v="1142"/>
    <s v="North Deborahchester"/>
    <n v="71359"/>
    <n v="498"/>
    <n v="20267"/>
    <n v="12"/>
    <n v="40"/>
    <x v="0"/>
    <n v="0"/>
    <x v="2"/>
    <n v="0.4395"/>
  </r>
  <r>
    <x v="1143"/>
    <s v="Stoneville"/>
    <n v="45670"/>
    <n v="351"/>
    <n v="43358"/>
    <n v="15"/>
    <n v="25"/>
    <x v="0"/>
    <n v="0"/>
    <x v="0"/>
    <n v="0.4395"/>
  </r>
  <r>
    <x v="1144"/>
    <s v="New Josephland"/>
    <n v="127370"/>
    <n v="844"/>
    <n v="7621"/>
    <n v="17"/>
    <n v="100"/>
    <x v="1"/>
    <n v="1"/>
    <x v="3"/>
    <n v="0.4395"/>
  </r>
  <r>
    <x v="1145"/>
    <s v="Longbury"/>
    <n v="100236"/>
    <n v="574"/>
    <n v="33451"/>
    <n v="13"/>
    <n v="50"/>
    <x v="0"/>
    <n v="0"/>
    <x v="2"/>
    <n v="0.4395"/>
  </r>
  <r>
    <x v="1146"/>
    <s v="Jessicaville"/>
    <n v="129901"/>
    <n v="489"/>
    <n v="33980"/>
    <n v="39"/>
    <n v="50"/>
    <x v="0"/>
    <n v="0"/>
    <x v="2"/>
    <n v="0.4395"/>
  </r>
  <r>
    <x v="1147"/>
    <s v="East Leslie"/>
    <n v="120461"/>
    <n v="371"/>
    <n v="11921"/>
    <n v="11"/>
    <n v="60"/>
    <x v="1"/>
    <n v="1"/>
    <x v="0"/>
    <n v="0.4395"/>
  </r>
  <r>
    <x v="1148"/>
    <s v="Pattersontown"/>
    <n v="54267"/>
    <n v="481"/>
    <n v="18290"/>
    <n v="4"/>
    <n v="30"/>
    <x v="0"/>
    <n v="0"/>
    <x v="2"/>
    <n v="0.4395"/>
  </r>
  <r>
    <x v="1149"/>
    <s v="Tarashire"/>
    <n v="55105"/>
    <n v="301"/>
    <n v="33001"/>
    <n v="15"/>
    <n v="35"/>
    <x v="0"/>
    <n v="0"/>
    <x v="0"/>
    <n v="0.4395"/>
  </r>
  <r>
    <x v="1150"/>
    <s v="Maryhaven"/>
    <n v="58361"/>
    <n v="815"/>
    <n v="11964"/>
    <n v="9"/>
    <n v="80"/>
    <x v="1"/>
    <n v="1"/>
    <x v="3"/>
    <n v="0.4395"/>
  </r>
  <r>
    <x v="1151"/>
    <s v="Shaunstad"/>
    <n v="126810"/>
    <n v="563"/>
    <n v="44477"/>
    <n v="31"/>
    <n v="50"/>
    <x v="0"/>
    <n v="0"/>
    <x v="2"/>
    <n v="0.4395"/>
  </r>
  <r>
    <x v="1152"/>
    <s v="Jenniferhaven"/>
    <n v="93464"/>
    <n v="795"/>
    <n v="8389"/>
    <n v="17"/>
    <n v="90"/>
    <x v="1"/>
    <n v="1"/>
    <x v="3"/>
    <n v="0.4395"/>
  </r>
  <r>
    <x v="1153"/>
    <s v="Chaseberg"/>
    <n v="66241"/>
    <n v="665"/>
    <n v="33625"/>
    <n v="1"/>
    <n v="35"/>
    <x v="0"/>
    <n v="0"/>
    <x v="1"/>
    <n v="0.4395"/>
  </r>
  <r>
    <x v="1154"/>
    <s v="Jamieland"/>
    <n v="124972"/>
    <n v="498"/>
    <n v="25758"/>
    <n v="40"/>
    <n v="55"/>
    <x v="0"/>
    <n v="0"/>
    <x v="2"/>
    <n v="0.4395"/>
  </r>
  <r>
    <x v="1155"/>
    <s v="Archerhaven"/>
    <n v="107278"/>
    <n v="479"/>
    <n v="18387"/>
    <n v="22"/>
    <n v="55"/>
    <x v="0"/>
    <n v="0"/>
    <x v="2"/>
    <n v="0.4395"/>
  </r>
  <r>
    <x v="1156"/>
    <s v="Kyleton"/>
    <n v="129641"/>
    <n v="832"/>
    <n v="46995"/>
    <n v="21"/>
    <n v="90"/>
    <x v="1"/>
    <n v="1"/>
    <x v="3"/>
    <n v="0.4395"/>
  </r>
  <r>
    <x v="1157"/>
    <s v="Keithtown"/>
    <n v="98765"/>
    <n v="810"/>
    <n v="45926"/>
    <n v="9"/>
    <n v="75"/>
    <x v="1"/>
    <n v="1"/>
    <x v="3"/>
    <n v="0.4395"/>
  </r>
  <r>
    <x v="1158"/>
    <s v="West Tommy"/>
    <n v="108222"/>
    <n v="366"/>
    <n v="20315"/>
    <n v="0"/>
    <n v="40"/>
    <x v="0"/>
    <n v="0"/>
    <x v="0"/>
    <n v="0.4395"/>
  </r>
  <r>
    <x v="1159"/>
    <s v="North Tracytown"/>
    <n v="67093"/>
    <n v="740"/>
    <n v="24085"/>
    <n v="0"/>
    <n v="60"/>
    <x v="1"/>
    <n v="1"/>
    <x v="1"/>
    <n v="0.4395"/>
  </r>
  <r>
    <x v="1160"/>
    <s v="North Jennifer"/>
    <n v="43176"/>
    <n v="446"/>
    <n v="49041"/>
    <n v="12"/>
    <n v="25"/>
    <x v="0"/>
    <n v="0"/>
    <x v="0"/>
    <n v="0.4395"/>
  </r>
  <r>
    <x v="1161"/>
    <s v="South Sarahbury"/>
    <n v="139134"/>
    <n v="695"/>
    <n v="28693"/>
    <n v="25"/>
    <n v="80"/>
    <x v="1"/>
    <n v="1"/>
    <x v="1"/>
    <n v="0.4395"/>
  </r>
  <r>
    <x v="1162"/>
    <s v="Carlaburgh"/>
    <n v="55443"/>
    <n v="746"/>
    <n v="45493"/>
    <n v="20"/>
    <n v="70"/>
    <x v="1"/>
    <n v="1"/>
    <x v="1"/>
    <n v="0.4395"/>
  </r>
  <r>
    <x v="1163"/>
    <s v="Derekside"/>
    <n v="68829"/>
    <n v="504"/>
    <n v="20730"/>
    <n v="19"/>
    <n v="40"/>
    <x v="0"/>
    <n v="0"/>
    <x v="2"/>
    <n v="0.4395"/>
  </r>
  <r>
    <x v="1164"/>
    <s v="South Kimberly"/>
    <n v="59816"/>
    <n v="747"/>
    <n v="7294"/>
    <n v="8"/>
    <n v="75"/>
    <x v="1"/>
    <n v="1"/>
    <x v="1"/>
    <n v="0.4395"/>
  </r>
  <r>
    <x v="1165"/>
    <s v="Taylorchester"/>
    <n v="77301"/>
    <n v="777"/>
    <n v="28558"/>
    <n v="26"/>
    <n v="80"/>
    <x v="1"/>
    <n v="1"/>
    <x v="3"/>
    <n v="0.4395"/>
  </r>
  <r>
    <x v="1166"/>
    <s v="Davisberg"/>
    <n v="53519"/>
    <n v="609"/>
    <n v="16902"/>
    <n v="37"/>
    <n v="55"/>
    <x v="0"/>
    <n v="0"/>
    <x v="1"/>
    <n v="0.4395"/>
  </r>
  <r>
    <x v="1167"/>
    <s v="Brianfurt"/>
    <n v="69618"/>
    <n v="428"/>
    <n v="27407"/>
    <n v="0"/>
    <n v="25"/>
    <x v="0"/>
    <n v="0"/>
    <x v="0"/>
    <n v="0.4395"/>
  </r>
  <r>
    <x v="1168"/>
    <s v="North Brianville"/>
    <n v="31854"/>
    <n v="641"/>
    <n v="39950"/>
    <n v="6"/>
    <n v="35"/>
    <x v="0"/>
    <n v="0"/>
    <x v="1"/>
    <n v="0.4395"/>
  </r>
  <r>
    <x v="1169"/>
    <s v="North Joyhaven"/>
    <n v="122801"/>
    <n v="354"/>
    <n v="46978"/>
    <n v="13"/>
    <n v="50"/>
    <x v="0"/>
    <n v="0"/>
    <x v="0"/>
    <n v="0.4395"/>
  </r>
  <r>
    <x v="1170"/>
    <s v="East Patty"/>
    <n v="100010"/>
    <n v="458"/>
    <n v="20719"/>
    <n v="40"/>
    <n v="55"/>
    <x v="0"/>
    <n v="0"/>
    <x v="2"/>
    <n v="0.4395"/>
  </r>
  <r>
    <x v="1171"/>
    <s v="Hansonborough"/>
    <n v="46591"/>
    <n v="417"/>
    <n v="5400"/>
    <n v="0"/>
    <n v="20"/>
    <x v="0"/>
    <n v="0"/>
    <x v="0"/>
    <n v="0.4395"/>
  </r>
  <r>
    <x v="1172"/>
    <s v="East Dale"/>
    <n v="65954"/>
    <n v="325"/>
    <n v="34148"/>
    <n v="28"/>
    <n v="35"/>
    <x v="0"/>
    <n v="0"/>
    <x v="0"/>
    <n v="0.4395"/>
  </r>
  <r>
    <x v="1173"/>
    <s v="Mcgrathbury"/>
    <n v="35965"/>
    <n v="566"/>
    <n v="41157"/>
    <n v="28"/>
    <n v="25"/>
    <x v="0"/>
    <n v="0"/>
    <x v="2"/>
    <n v="0.4395"/>
  </r>
  <r>
    <x v="1174"/>
    <s v="East Donaldbury"/>
    <n v="37146"/>
    <n v="474"/>
    <n v="34522"/>
    <n v="34"/>
    <n v="25"/>
    <x v="0"/>
    <n v="0"/>
    <x v="2"/>
    <n v="0.4395"/>
  </r>
  <r>
    <x v="1175"/>
    <s v="New Trevorview"/>
    <n v="102529"/>
    <n v="700"/>
    <n v="26285"/>
    <n v="6"/>
    <n v="70"/>
    <x v="1"/>
    <n v="1"/>
    <x v="1"/>
    <n v="0.4395"/>
  </r>
  <r>
    <x v="1176"/>
    <s v="Stephenshire"/>
    <n v="68290"/>
    <n v="698"/>
    <n v="1722"/>
    <n v="37"/>
    <n v="75"/>
    <x v="1"/>
    <n v="1"/>
    <x v="1"/>
    <n v="0.4395"/>
  </r>
  <r>
    <x v="1177"/>
    <s v="Williamsstad"/>
    <n v="121411"/>
    <n v="442"/>
    <n v="31664"/>
    <n v="29"/>
    <n v="50"/>
    <x v="0"/>
    <n v="0"/>
    <x v="0"/>
    <n v="0.4395"/>
  </r>
  <r>
    <x v="1178"/>
    <s v="West Rachel"/>
    <n v="46551"/>
    <n v="837"/>
    <n v="26599"/>
    <n v="32"/>
    <n v="65"/>
    <x v="1"/>
    <n v="1"/>
    <x v="3"/>
    <n v="0.4395"/>
  </r>
  <r>
    <x v="1179"/>
    <s v="Stephenberg"/>
    <n v="113606"/>
    <n v="585"/>
    <n v="44151"/>
    <n v="19"/>
    <n v="65"/>
    <x v="1"/>
    <n v="1"/>
    <x v="2"/>
    <n v="0.4395"/>
  </r>
  <r>
    <x v="1180"/>
    <s v="Bennettfort"/>
    <n v="143830"/>
    <n v="484"/>
    <n v="38751"/>
    <n v="32"/>
    <n v="50"/>
    <x v="0"/>
    <n v="0"/>
    <x v="2"/>
    <n v="0.4395"/>
  </r>
  <r>
    <x v="1181"/>
    <s v="Briannashire"/>
    <n v="128669"/>
    <n v="656"/>
    <n v="39305"/>
    <n v="39"/>
    <n v="65"/>
    <x v="1"/>
    <n v="1"/>
    <x v="1"/>
    <n v="0.4395"/>
  </r>
  <r>
    <x v="1182"/>
    <s v="East Colin"/>
    <n v="94340"/>
    <n v="408"/>
    <n v="33730"/>
    <n v="30"/>
    <n v="45"/>
    <x v="0"/>
    <n v="0"/>
    <x v="0"/>
    <n v="0.4395"/>
  </r>
  <r>
    <x v="1183"/>
    <s v="North Rachel"/>
    <n v="43446"/>
    <n v="478"/>
    <n v="48720"/>
    <n v="24"/>
    <n v="25"/>
    <x v="0"/>
    <n v="0"/>
    <x v="2"/>
    <n v="0.4395"/>
  </r>
  <r>
    <x v="1184"/>
    <s v="Dannyland"/>
    <n v="144389"/>
    <n v="752"/>
    <n v="25531"/>
    <n v="38"/>
    <n v="90"/>
    <x v="1"/>
    <n v="1"/>
    <x v="3"/>
    <n v="0.4395"/>
  </r>
  <r>
    <x v="1185"/>
    <s v="Lake Shannonberg"/>
    <n v="31607"/>
    <n v="504"/>
    <n v="13826"/>
    <n v="16"/>
    <n v="25"/>
    <x v="0"/>
    <n v="0"/>
    <x v="2"/>
    <n v="0.4395"/>
  </r>
  <r>
    <x v="1186"/>
    <s v="Cervantesborough"/>
    <n v="105243"/>
    <n v="388"/>
    <n v="39149"/>
    <n v="1"/>
    <n v="35"/>
    <x v="0"/>
    <n v="0"/>
    <x v="0"/>
    <n v="0.4395"/>
  </r>
  <r>
    <x v="1187"/>
    <s v="North Michael"/>
    <n v="67268"/>
    <n v="717"/>
    <n v="38243"/>
    <n v="34"/>
    <n v="60"/>
    <x v="1"/>
    <n v="1"/>
    <x v="1"/>
    <n v="0.4395"/>
  </r>
  <r>
    <x v="1188"/>
    <s v="Leeborough"/>
    <n v="91524"/>
    <n v="785"/>
    <n v="33823"/>
    <n v="22"/>
    <n v="80"/>
    <x v="1"/>
    <n v="1"/>
    <x v="3"/>
    <n v="0.4395"/>
  </r>
  <r>
    <x v="1189"/>
    <s v="South Ronaldfurt"/>
    <n v="92746"/>
    <n v="372"/>
    <n v="38299"/>
    <n v="5"/>
    <n v="35"/>
    <x v="0"/>
    <n v="0"/>
    <x v="0"/>
    <n v="0.4395"/>
  </r>
  <r>
    <x v="1190"/>
    <s v="Hallside"/>
    <n v="87733"/>
    <n v="638"/>
    <n v="2477"/>
    <n v="14"/>
    <n v="70"/>
    <x v="1"/>
    <n v="1"/>
    <x v="1"/>
    <n v="0.4395"/>
  </r>
  <r>
    <x v="1191"/>
    <s v="Warnerland"/>
    <n v="74657"/>
    <n v="461"/>
    <n v="19878"/>
    <n v="4"/>
    <n v="30"/>
    <x v="0"/>
    <n v="0"/>
    <x v="2"/>
    <n v="0.4395"/>
  </r>
  <r>
    <x v="1192"/>
    <s v="Reginaldton"/>
    <n v="54164"/>
    <n v="413"/>
    <n v="39192"/>
    <n v="30"/>
    <n v="35"/>
    <x v="0"/>
    <n v="0"/>
    <x v="0"/>
    <n v="0.4395"/>
  </r>
  <r>
    <x v="1193"/>
    <s v="West Robertborough"/>
    <n v="36734"/>
    <n v="642"/>
    <n v="4892"/>
    <n v="8"/>
    <n v="45"/>
    <x v="0"/>
    <n v="0"/>
    <x v="1"/>
    <n v="0.4395"/>
  </r>
  <r>
    <x v="1194"/>
    <s v="East Trevorshire"/>
    <n v="63092"/>
    <n v="336"/>
    <n v="23665"/>
    <n v="4"/>
    <n v="30"/>
    <x v="0"/>
    <n v="0"/>
    <x v="0"/>
    <n v="0.4395"/>
  </r>
  <r>
    <x v="1195"/>
    <s v="New Timothyberg"/>
    <n v="142947"/>
    <n v="577"/>
    <n v="48404"/>
    <n v="2"/>
    <n v="40"/>
    <x v="0"/>
    <n v="0"/>
    <x v="2"/>
    <n v="0.4395"/>
  </r>
  <r>
    <x v="1196"/>
    <s v="Ryanport"/>
    <n v="92616"/>
    <n v="533"/>
    <n v="2405"/>
    <n v="3"/>
    <n v="45"/>
    <x v="0"/>
    <n v="0"/>
    <x v="2"/>
    <n v="0.4395"/>
  </r>
  <r>
    <x v="1197"/>
    <s v="Flemingtown"/>
    <n v="44953"/>
    <n v="793"/>
    <n v="4417"/>
    <n v="24"/>
    <n v="75"/>
    <x v="1"/>
    <n v="1"/>
    <x v="3"/>
    <n v="0.4395"/>
  </r>
  <r>
    <x v="1198"/>
    <s v="Dunnville"/>
    <n v="137756"/>
    <n v="748"/>
    <n v="8732"/>
    <n v="39"/>
    <n v="95"/>
    <x v="1"/>
    <n v="1"/>
    <x v="1"/>
    <n v="0.4395"/>
  </r>
  <r>
    <x v="1199"/>
    <s v="East Jesseshire"/>
    <n v="38564"/>
    <n v="310"/>
    <n v="15884"/>
    <n v="26"/>
    <n v="25"/>
    <x v="0"/>
    <n v="0"/>
    <x v="0"/>
    <n v="0.4395"/>
  </r>
  <r>
    <x v="1200"/>
    <s v="Port Alexisbury"/>
    <n v="82521"/>
    <n v="358"/>
    <n v="6020"/>
    <n v="3"/>
    <n v="45"/>
    <x v="0"/>
    <n v="0"/>
    <x v="0"/>
    <n v="0.4395"/>
  </r>
  <r>
    <x v="1201"/>
    <s v="Carriebury"/>
    <n v="94454"/>
    <n v="599"/>
    <n v="9501"/>
    <n v="38"/>
    <n v="65"/>
    <x v="1"/>
    <n v="1"/>
    <x v="2"/>
    <n v="0.4395"/>
  </r>
  <r>
    <x v="1202"/>
    <s v="West Shawnaborough"/>
    <n v="39710"/>
    <n v="806"/>
    <n v="47219"/>
    <n v="22"/>
    <n v="65"/>
    <x v="1"/>
    <n v="1"/>
    <x v="3"/>
    <n v="0.4395"/>
  </r>
  <r>
    <x v="1203"/>
    <s v="Shellyside"/>
    <n v="105631"/>
    <n v="599"/>
    <n v="43837"/>
    <n v="15"/>
    <n v="60"/>
    <x v="1"/>
    <n v="1"/>
    <x v="2"/>
    <n v="0.4395"/>
  </r>
  <r>
    <x v="1204"/>
    <s v="North Michaelchester"/>
    <n v="112502"/>
    <n v="797"/>
    <n v="19335"/>
    <n v="5"/>
    <n v="85"/>
    <x v="1"/>
    <n v="1"/>
    <x v="3"/>
    <n v="0.4395"/>
  </r>
  <r>
    <x v="1205"/>
    <s v="West Judy"/>
    <n v="119974"/>
    <n v="515"/>
    <n v="9044"/>
    <n v="23"/>
    <n v="60"/>
    <x v="1"/>
    <n v="1"/>
    <x v="2"/>
    <n v="0.4395"/>
  </r>
  <r>
    <x v="1206"/>
    <s v="Lake Scott"/>
    <n v="37026"/>
    <n v="764"/>
    <n v="8486"/>
    <n v="1"/>
    <n v="55"/>
    <x v="0"/>
    <n v="0"/>
    <x v="3"/>
    <n v="0.4395"/>
  </r>
  <r>
    <x v="1207"/>
    <s v="North Joshuafurt"/>
    <n v="49887"/>
    <n v="807"/>
    <n v="2235"/>
    <n v="24"/>
    <n v="80"/>
    <x v="1"/>
    <n v="1"/>
    <x v="3"/>
    <n v="0.4395"/>
  </r>
  <r>
    <x v="1208"/>
    <s v="Lake Ryan"/>
    <n v="49555"/>
    <n v="353"/>
    <n v="44280"/>
    <n v="19"/>
    <n v="25"/>
    <x v="0"/>
    <n v="0"/>
    <x v="0"/>
    <n v="0.4395"/>
  </r>
  <r>
    <x v="1209"/>
    <s v="Sandraview"/>
    <n v="136318"/>
    <n v="521"/>
    <n v="2792"/>
    <n v="21"/>
    <n v="60"/>
    <x v="1"/>
    <n v="1"/>
    <x v="2"/>
    <n v="0.4395"/>
  </r>
  <r>
    <x v="1210"/>
    <s v="Port Danielfurt"/>
    <n v="103772"/>
    <n v="594"/>
    <n v="36046"/>
    <n v="29"/>
    <n v="65"/>
    <x v="1"/>
    <n v="1"/>
    <x v="2"/>
    <n v="0.4395"/>
  </r>
  <r>
    <x v="1211"/>
    <s v="Franciscofurt"/>
    <n v="69824"/>
    <n v="778"/>
    <n v="49865"/>
    <n v="15"/>
    <n v="70"/>
    <x v="1"/>
    <n v="1"/>
    <x v="3"/>
    <n v="0.4395"/>
  </r>
  <r>
    <x v="1212"/>
    <s v="Christopherbury"/>
    <n v="41164"/>
    <n v="602"/>
    <n v="23120"/>
    <n v="36"/>
    <n v="40"/>
    <x v="0"/>
    <n v="0"/>
    <x v="1"/>
    <n v="0.4395"/>
  </r>
  <r>
    <x v="1213"/>
    <s v="Kimberlytown"/>
    <n v="62530"/>
    <n v="427"/>
    <n v="21112"/>
    <n v="36"/>
    <n v="40"/>
    <x v="0"/>
    <n v="0"/>
    <x v="0"/>
    <n v="0.4395"/>
  </r>
  <r>
    <x v="1214"/>
    <s v="Fordmouth"/>
    <n v="45525"/>
    <n v="309"/>
    <n v="31568"/>
    <n v="2"/>
    <n v="15"/>
    <x v="0"/>
    <n v="0"/>
    <x v="0"/>
    <n v="0.4395"/>
  </r>
  <r>
    <x v="1215"/>
    <s v="South Brian"/>
    <n v="103147"/>
    <n v="381"/>
    <n v="19117"/>
    <n v="39"/>
    <n v="55"/>
    <x v="0"/>
    <n v="0"/>
    <x v="0"/>
    <n v="0.4395"/>
  </r>
  <r>
    <x v="1216"/>
    <s v="Katieview"/>
    <n v="130197"/>
    <n v="565"/>
    <n v="33435"/>
    <n v="8"/>
    <n v="45"/>
    <x v="0"/>
    <n v="0"/>
    <x v="2"/>
    <n v="0.4395"/>
  </r>
  <r>
    <x v="1217"/>
    <s v="East Dannyton"/>
    <n v="84548"/>
    <n v="488"/>
    <n v="45855"/>
    <n v="32"/>
    <n v="40"/>
    <x v="0"/>
    <n v="0"/>
    <x v="2"/>
    <n v="0.4395"/>
  </r>
  <r>
    <x v="1218"/>
    <s v="North Stephanie"/>
    <n v="109471"/>
    <n v="565"/>
    <n v="17871"/>
    <n v="1"/>
    <n v="40"/>
    <x v="0"/>
    <n v="0"/>
    <x v="2"/>
    <n v="0.4395"/>
  </r>
  <r>
    <x v="1219"/>
    <s v="New Jimmyville"/>
    <n v="108135"/>
    <n v="379"/>
    <n v="34222"/>
    <n v="28"/>
    <n v="50"/>
    <x v="0"/>
    <n v="0"/>
    <x v="0"/>
    <n v="0.4395"/>
  </r>
  <r>
    <x v="1220"/>
    <s v="Mariachester"/>
    <n v="133643"/>
    <n v="373"/>
    <n v="43066"/>
    <n v="27"/>
    <n v="50"/>
    <x v="0"/>
    <n v="0"/>
    <x v="0"/>
    <n v="0.4395"/>
  </r>
  <r>
    <x v="1221"/>
    <s v="Matthewchester"/>
    <n v="111057"/>
    <n v="683"/>
    <n v="31846"/>
    <n v="18"/>
    <n v="75"/>
    <x v="1"/>
    <n v="1"/>
    <x v="1"/>
    <n v="0.4395"/>
  </r>
  <r>
    <x v="1222"/>
    <s v="New Anthony"/>
    <n v="59581"/>
    <n v="516"/>
    <n v="21519"/>
    <n v="32"/>
    <n v="40"/>
    <x v="0"/>
    <n v="0"/>
    <x v="2"/>
    <n v="0.4395"/>
  </r>
  <r>
    <x v="1223"/>
    <s v="Shelbyfurt"/>
    <n v="131671"/>
    <n v="333"/>
    <n v="44061"/>
    <n v="9"/>
    <n v="45"/>
    <x v="0"/>
    <n v="0"/>
    <x v="0"/>
    <n v="0.4395"/>
  </r>
  <r>
    <x v="1224"/>
    <s v="East Arianashire"/>
    <n v="98494"/>
    <n v="728"/>
    <n v="36321"/>
    <n v="7"/>
    <n v="65"/>
    <x v="1"/>
    <n v="1"/>
    <x v="1"/>
    <n v="0.4395"/>
  </r>
  <r>
    <x v="1225"/>
    <s v="Hopkinshaven"/>
    <n v="79856"/>
    <n v="751"/>
    <n v="21770"/>
    <n v="17"/>
    <n v="80"/>
    <x v="1"/>
    <n v="1"/>
    <x v="3"/>
    <n v="0.4395"/>
  </r>
  <r>
    <x v="1226"/>
    <s v="Johnstad"/>
    <n v="89049"/>
    <n v="536"/>
    <n v="30872"/>
    <n v="20"/>
    <n v="45"/>
    <x v="0"/>
    <n v="0"/>
    <x v="2"/>
    <n v="0.4395"/>
  </r>
  <r>
    <x v="1227"/>
    <s v="Annland"/>
    <n v="149079"/>
    <n v="670"/>
    <n v="43816"/>
    <n v="30"/>
    <n v="75"/>
    <x v="1"/>
    <n v="1"/>
    <x v="1"/>
    <n v="0.4395"/>
  </r>
  <r>
    <x v="1228"/>
    <s v="New John"/>
    <n v="88028"/>
    <n v="717"/>
    <n v="45178"/>
    <n v="37"/>
    <n v="65"/>
    <x v="1"/>
    <n v="1"/>
    <x v="1"/>
    <n v="0.4395"/>
  </r>
  <r>
    <x v="1229"/>
    <s v="Leeland"/>
    <n v="68974"/>
    <n v="718"/>
    <n v="28592"/>
    <n v="32"/>
    <n v="60"/>
    <x v="1"/>
    <n v="1"/>
    <x v="1"/>
    <n v="0.4395"/>
  </r>
  <r>
    <x v="1230"/>
    <s v="South Alexis"/>
    <n v="142743"/>
    <n v="423"/>
    <n v="28435"/>
    <n v="16"/>
    <n v="55"/>
    <x v="0"/>
    <n v="0"/>
    <x v="0"/>
    <n v="0.4395"/>
  </r>
  <r>
    <x v="1231"/>
    <s v="East Mollychester"/>
    <n v="107139"/>
    <n v="324"/>
    <n v="46222"/>
    <n v="10"/>
    <n v="45"/>
    <x v="0"/>
    <n v="0"/>
    <x v="0"/>
    <n v="0.4395"/>
  </r>
  <r>
    <x v="1232"/>
    <s v="Gomezfurt"/>
    <n v="86207"/>
    <n v="547"/>
    <n v="47660"/>
    <n v="18"/>
    <n v="40"/>
    <x v="0"/>
    <n v="0"/>
    <x v="2"/>
    <n v="0.4395"/>
  </r>
  <r>
    <x v="1233"/>
    <s v="Lake Brandonstad"/>
    <n v="70026"/>
    <n v="759"/>
    <n v="27796"/>
    <n v="40"/>
    <n v="75"/>
    <x v="1"/>
    <n v="1"/>
    <x v="3"/>
    <n v="0.4395"/>
  </r>
  <r>
    <x v="1234"/>
    <s v="Gravesburgh"/>
    <n v="104531"/>
    <n v="821"/>
    <n v="6491"/>
    <n v="9"/>
    <n v="95"/>
    <x v="1"/>
    <n v="1"/>
    <x v="3"/>
    <n v="0.4395"/>
  </r>
  <r>
    <x v="1235"/>
    <s v="Graymouth"/>
    <n v="111399"/>
    <n v="480"/>
    <n v="34336"/>
    <n v="37"/>
    <n v="50"/>
    <x v="0"/>
    <n v="0"/>
    <x v="2"/>
    <n v="0.4395"/>
  </r>
  <r>
    <x v="1236"/>
    <s v="Petersonshire"/>
    <n v="37894"/>
    <n v="830"/>
    <n v="35419"/>
    <n v="37"/>
    <n v="65"/>
    <x v="1"/>
    <n v="1"/>
    <x v="3"/>
    <n v="0.4395"/>
  </r>
  <r>
    <x v="1237"/>
    <s v="Floresburgh"/>
    <n v="109905"/>
    <n v="446"/>
    <n v="3748"/>
    <n v="13"/>
    <n v="60"/>
    <x v="1"/>
    <n v="1"/>
    <x v="0"/>
    <n v="0.4395"/>
  </r>
  <r>
    <x v="1238"/>
    <s v="Coryport"/>
    <n v="127004"/>
    <n v="469"/>
    <n v="8769"/>
    <n v="18"/>
    <n v="60"/>
    <x v="1"/>
    <n v="1"/>
    <x v="2"/>
    <n v="0.4395"/>
  </r>
  <r>
    <x v="1239"/>
    <s v="Sheilaview"/>
    <n v="43006"/>
    <n v="408"/>
    <n v="16183"/>
    <n v="17"/>
    <n v="30"/>
    <x v="0"/>
    <n v="0"/>
    <x v="0"/>
    <n v="0.4395"/>
  </r>
  <r>
    <x v="1240"/>
    <s v="North Carmen"/>
    <n v="129973"/>
    <n v="340"/>
    <n v="36378"/>
    <n v="34"/>
    <n v="50"/>
    <x v="0"/>
    <n v="0"/>
    <x v="0"/>
    <n v="0.4395"/>
  </r>
  <r>
    <x v="1241"/>
    <s v="West Jamesshire"/>
    <n v="57235"/>
    <n v="736"/>
    <n v="48978"/>
    <n v="28"/>
    <n v="60"/>
    <x v="1"/>
    <n v="1"/>
    <x v="1"/>
    <n v="0.4395"/>
  </r>
  <r>
    <x v="1242"/>
    <s v="Lake Jasmineville"/>
    <n v="111987"/>
    <n v="755"/>
    <n v="29328"/>
    <n v="31"/>
    <n v="85"/>
    <x v="1"/>
    <n v="1"/>
    <x v="3"/>
    <n v="0.4395"/>
  </r>
  <r>
    <x v="1243"/>
    <s v="West Lindabury"/>
    <n v="57659"/>
    <n v="376"/>
    <n v="22437"/>
    <n v="10"/>
    <n v="40"/>
    <x v="0"/>
    <n v="0"/>
    <x v="0"/>
    <n v="0.4395"/>
  </r>
  <r>
    <x v="1244"/>
    <s v="Lake Haileyton"/>
    <n v="64687"/>
    <n v="743"/>
    <n v="7582"/>
    <n v="33"/>
    <n v="80"/>
    <x v="1"/>
    <n v="1"/>
    <x v="1"/>
    <n v="0.4395"/>
  </r>
  <r>
    <x v="1245"/>
    <s v="Lake Courtneybury"/>
    <n v="116563"/>
    <n v="440"/>
    <n v="39426"/>
    <n v="24"/>
    <n v="50"/>
    <x v="0"/>
    <n v="0"/>
    <x v="0"/>
    <n v="0.4395"/>
  </r>
  <r>
    <x v="1246"/>
    <s v="Hernandezburgh"/>
    <n v="40641"/>
    <n v="808"/>
    <n v="19520"/>
    <n v="8"/>
    <n v="60"/>
    <x v="1"/>
    <n v="1"/>
    <x v="3"/>
    <n v="0.4395"/>
  </r>
  <r>
    <x v="1247"/>
    <s v="North Ryan"/>
    <n v="50585"/>
    <n v="802"/>
    <n v="37551"/>
    <n v="39"/>
    <n v="75"/>
    <x v="1"/>
    <n v="1"/>
    <x v="3"/>
    <n v="0.4395"/>
  </r>
  <r>
    <x v="1248"/>
    <s v="Christinashire"/>
    <n v="61439"/>
    <n v="540"/>
    <n v="42793"/>
    <n v="22"/>
    <n v="35"/>
    <x v="0"/>
    <n v="0"/>
    <x v="2"/>
    <n v="0.4395"/>
  </r>
  <r>
    <x v="1249"/>
    <s v="West Elizabeth"/>
    <n v="52782"/>
    <n v="801"/>
    <n v="42289"/>
    <n v="25"/>
    <n v="75"/>
    <x v="1"/>
    <n v="1"/>
    <x v="3"/>
    <n v="0.4395"/>
  </r>
  <r>
    <x v="1250"/>
    <s v="North Sydney"/>
    <n v="102350"/>
    <n v="594"/>
    <n v="28498"/>
    <n v="28"/>
    <n v="65"/>
    <x v="1"/>
    <n v="1"/>
    <x v="2"/>
    <n v="0.4395"/>
  </r>
  <r>
    <x v="1251"/>
    <s v="Huberville"/>
    <n v="39838"/>
    <n v="655"/>
    <n v="46676"/>
    <n v="25"/>
    <n v="40"/>
    <x v="0"/>
    <n v="0"/>
    <x v="1"/>
    <n v="0.4395"/>
  </r>
  <r>
    <x v="1252"/>
    <s v="Burkebury"/>
    <n v="50517"/>
    <n v="329"/>
    <n v="20066"/>
    <n v="17"/>
    <n v="40"/>
    <x v="0"/>
    <n v="0"/>
    <x v="0"/>
    <n v="0.4395"/>
  </r>
  <r>
    <x v="1253"/>
    <s v="New Kelseyview"/>
    <n v="30350"/>
    <n v="625"/>
    <n v="27950"/>
    <n v="25"/>
    <n v="40"/>
    <x v="0"/>
    <n v="0"/>
    <x v="1"/>
    <n v="0.4395"/>
  </r>
  <r>
    <x v="1254"/>
    <s v="West Toddbury"/>
    <n v="83545"/>
    <n v="647"/>
    <n v="42698"/>
    <n v="2"/>
    <n v="45"/>
    <x v="0"/>
    <n v="0"/>
    <x v="1"/>
    <n v="0.4395"/>
  </r>
  <r>
    <x v="1255"/>
    <s v="New Jamie"/>
    <n v="89048"/>
    <n v="412"/>
    <n v="41193"/>
    <n v="39"/>
    <n v="40"/>
    <x v="0"/>
    <n v="0"/>
    <x v="0"/>
    <n v="0.4395"/>
  </r>
  <r>
    <x v="1256"/>
    <s v="Port Nicholasmouth"/>
    <n v="120357"/>
    <n v="661"/>
    <n v="37234"/>
    <n v="4"/>
    <n v="55"/>
    <x v="0"/>
    <n v="0"/>
    <x v="1"/>
    <n v="0.4395"/>
  </r>
  <r>
    <x v="1257"/>
    <s v="East Mary"/>
    <n v="107832"/>
    <n v="705"/>
    <n v="48043"/>
    <n v="14"/>
    <n v="70"/>
    <x v="1"/>
    <n v="1"/>
    <x v="1"/>
    <n v="0.4395"/>
  </r>
  <r>
    <x v="1258"/>
    <s v="Lewisbury"/>
    <n v="91592"/>
    <n v="313"/>
    <n v="3364"/>
    <n v="1"/>
    <n v="40"/>
    <x v="0"/>
    <n v="0"/>
    <x v="0"/>
    <n v="0.4395"/>
  </r>
  <r>
    <x v="1259"/>
    <s v="Williamsport"/>
    <n v="68175"/>
    <n v="608"/>
    <n v="2588"/>
    <n v="14"/>
    <n v="65"/>
    <x v="1"/>
    <n v="1"/>
    <x v="1"/>
    <n v="0.4395"/>
  </r>
  <r>
    <x v="1260"/>
    <s v="Port Kristenfurt"/>
    <n v="34278"/>
    <n v="434"/>
    <n v="49531"/>
    <n v="17"/>
    <n v="25"/>
    <x v="0"/>
    <n v="0"/>
    <x v="0"/>
    <n v="0.4395"/>
  </r>
  <r>
    <x v="1261"/>
    <s v="Smithside"/>
    <n v="60340"/>
    <n v="455"/>
    <n v="7262"/>
    <n v="37"/>
    <n v="45"/>
    <x v="0"/>
    <n v="0"/>
    <x v="2"/>
    <n v="0.4395"/>
  </r>
  <r>
    <x v="1262"/>
    <s v="Kristenchester"/>
    <n v="67762"/>
    <n v="824"/>
    <n v="49724"/>
    <n v="1"/>
    <n v="60"/>
    <x v="1"/>
    <n v="1"/>
    <x v="3"/>
    <n v="0.4395"/>
  </r>
  <r>
    <x v="1263"/>
    <s v="Bennettchester"/>
    <n v="122662"/>
    <n v="395"/>
    <n v="15565"/>
    <n v="26"/>
    <n v="55"/>
    <x v="0"/>
    <n v="0"/>
    <x v="0"/>
    <n v="0.4395"/>
  </r>
  <r>
    <x v="1264"/>
    <s v="South Andre"/>
    <n v="67056"/>
    <n v="808"/>
    <n v="48681"/>
    <n v="25"/>
    <n v="75"/>
    <x v="1"/>
    <n v="1"/>
    <x v="3"/>
    <n v="0.4395"/>
  </r>
  <r>
    <x v="1265"/>
    <s v="Walkertown"/>
    <n v="122141"/>
    <n v="706"/>
    <n v="16211"/>
    <n v="28"/>
    <n v="80"/>
    <x v="1"/>
    <n v="1"/>
    <x v="1"/>
    <n v="0.4395"/>
  </r>
  <r>
    <x v="1266"/>
    <s v="Douglasland"/>
    <n v="142670"/>
    <n v="397"/>
    <n v="37758"/>
    <n v="10"/>
    <n v="50"/>
    <x v="0"/>
    <n v="0"/>
    <x v="0"/>
    <n v="0.4395"/>
  </r>
  <r>
    <x v="1267"/>
    <s v="East Richardfort"/>
    <n v="89510"/>
    <n v="835"/>
    <n v="48384"/>
    <n v="36"/>
    <n v="80"/>
    <x v="1"/>
    <n v="1"/>
    <x v="3"/>
    <n v="0.4395"/>
  </r>
  <r>
    <x v="1268"/>
    <s v="Collinsmouth"/>
    <n v="39329"/>
    <n v="454"/>
    <n v="3392"/>
    <n v="20"/>
    <n v="40"/>
    <x v="0"/>
    <n v="0"/>
    <x v="2"/>
    <n v="0.4395"/>
  </r>
  <r>
    <x v="1269"/>
    <s v="Hannahside"/>
    <n v="120096"/>
    <n v="800"/>
    <n v="36755"/>
    <n v="31"/>
    <n v="90"/>
    <x v="1"/>
    <n v="1"/>
    <x v="3"/>
    <n v="0.4395"/>
  </r>
  <r>
    <x v="1270"/>
    <s v="Robertsonland"/>
    <n v="60595"/>
    <n v="407"/>
    <n v="28898"/>
    <n v="4"/>
    <n v="25"/>
    <x v="0"/>
    <n v="0"/>
    <x v="0"/>
    <n v="0.4395"/>
  </r>
  <r>
    <x v="1271"/>
    <s v="East Jamesville"/>
    <n v="64675"/>
    <n v="339"/>
    <n v="28799"/>
    <n v="31"/>
    <n v="35"/>
    <x v="0"/>
    <n v="0"/>
    <x v="0"/>
    <n v="0.4395"/>
  </r>
  <r>
    <x v="1272"/>
    <s v="Rossport"/>
    <n v="133262"/>
    <n v="420"/>
    <n v="29539"/>
    <n v="18"/>
    <n v="55"/>
    <x v="0"/>
    <n v="0"/>
    <x v="0"/>
    <n v="0.4395"/>
  </r>
  <r>
    <x v="1273"/>
    <s v="Christinastad"/>
    <n v="133710"/>
    <n v="469"/>
    <n v="10274"/>
    <n v="18"/>
    <n v="60"/>
    <x v="1"/>
    <n v="1"/>
    <x v="2"/>
    <n v="0.4395"/>
  </r>
  <r>
    <x v="1274"/>
    <s v="Aprilview"/>
    <n v="111927"/>
    <n v="783"/>
    <n v="31335"/>
    <n v="13"/>
    <n v="85"/>
    <x v="1"/>
    <n v="1"/>
    <x v="3"/>
    <n v="0.4395"/>
  </r>
  <r>
    <x v="1275"/>
    <s v="East Alice"/>
    <n v="107304"/>
    <n v="785"/>
    <n v="1643"/>
    <n v="20"/>
    <n v="95"/>
    <x v="1"/>
    <n v="1"/>
    <x v="3"/>
    <n v="0.4395"/>
  </r>
  <r>
    <x v="1276"/>
    <s v="West Jacquelineborough"/>
    <n v="116662"/>
    <n v="396"/>
    <n v="36240"/>
    <n v="29"/>
    <n v="50"/>
    <x v="0"/>
    <n v="0"/>
    <x v="0"/>
    <n v="0.4395"/>
  </r>
  <r>
    <x v="1277"/>
    <s v="North Michael"/>
    <n v="135369"/>
    <n v="531"/>
    <n v="23607"/>
    <n v="40"/>
    <n v="55"/>
    <x v="0"/>
    <n v="0"/>
    <x v="2"/>
    <n v="0.4395"/>
  </r>
  <r>
    <x v="1278"/>
    <s v="Silvaport"/>
    <n v="55928"/>
    <n v="676"/>
    <n v="41927"/>
    <n v="25"/>
    <n v="60"/>
    <x v="1"/>
    <n v="1"/>
    <x v="1"/>
    <n v="0.4395"/>
  </r>
  <r>
    <x v="1279"/>
    <s v="North Brittany"/>
    <n v="85723"/>
    <n v="405"/>
    <n v="48884"/>
    <n v="13"/>
    <n v="40"/>
    <x v="0"/>
    <n v="0"/>
    <x v="0"/>
    <n v="0.4395"/>
  </r>
  <r>
    <x v="1280"/>
    <s v="Riverashire"/>
    <n v="45043"/>
    <n v="583"/>
    <n v="49317"/>
    <n v="39"/>
    <n v="40"/>
    <x v="0"/>
    <n v="0"/>
    <x v="2"/>
    <n v="0.4395"/>
  </r>
  <r>
    <x v="1281"/>
    <s v="East Christopher"/>
    <n v="101376"/>
    <n v="450"/>
    <n v="10393"/>
    <n v="10"/>
    <n v="55"/>
    <x v="0"/>
    <n v="0"/>
    <x v="0"/>
    <n v="0.4395"/>
  </r>
  <r>
    <x v="1282"/>
    <s v="East Williammouth"/>
    <n v="59466"/>
    <n v="735"/>
    <n v="44571"/>
    <n v="30"/>
    <n v="60"/>
    <x v="1"/>
    <n v="1"/>
    <x v="1"/>
    <n v="0.4395"/>
  </r>
  <r>
    <x v="1283"/>
    <s v="Bennettfurt"/>
    <n v="114886"/>
    <n v="785"/>
    <n v="24264"/>
    <n v="19"/>
    <n v="90"/>
    <x v="1"/>
    <n v="1"/>
    <x v="3"/>
    <n v="0.4395"/>
  </r>
  <r>
    <x v="1284"/>
    <s v="East Sonia"/>
    <n v="49528"/>
    <n v="584"/>
    <n v="47618"/>
    <n v="9"/>
    <n v="35"/>
    <x v="0"/>
    <n v="0"/>
    <x v="2"/>
    <n v="0.4395"/>
  </r>
  <r>
    <x v="1285"/>
    <s v="Ginaside"/>
    <n v="149067"/>
    <n v="745"/>
    <n v="43735"/>
    <n v="22"/>
    <n v="85"/>
    <x v="1"/>
    <n v="1"/>
    <x v="1"/>
    <n v="0.4395"/>
  </r>
  <r>
    <x v="1286"/>
    <s v="Jessicaborough"/>
    <n v="64816"/>
    <n v="495"/>
    <n v="26064"/>
    <n v="23"/>
    <n v="35"/>
    <x v="0"/>
    <n v="0"/>
    <x v="2"/>
    <n v="0.4395"/>
  </r>
  <r>
    <x v="1287"/>
    <s v="Markstad"/>
    <n v="138348"/>
    <n v="559"/>
    <n v="33951"/>
    <n v="0"/>
    <n v="40"/>
    <x v="0"/>
    <n v="0"/>
    <x v="2"/>
    <n v="0.4395"/>
  </r>
  <r>
    <x v="1288"/>
    <s v="Sandersview"/>
    <n v="48643"/>
    <n v="580"/>
    <n v="41977"/>
    <n v="3"/>
    <n v="30"/>
    <x v="0"/>
    <n v="0"/>
    <x v="2"/>
    <n v="0.4395"/>
  </r>
  <r>
    <x v="1289"/>
    <s v="Osbornmouth"/>
    <n v="39359"/>
    <n v="802"/>
    <n v="12388"/>
    <n v="30"/>
    <n v="70"/>
    <x v="1"/>
    <n v="1"/>
    <x v="3"/>
    <n v="0.4395"/>
  </r>
  <r>
    <x v="1290"/>
    <s v="North Mikeberg"/>
    <n v="37816"/>
    <n v="481"/>
    <n v="9627"/>
    <n v="5"/>
    <n v="25"/>
    <x v="0"/>
    <n v="0"/>
    <x v="2"/>
    <n v="0.4395"/>
  </r>
  <r>
    <x v="1291"/>
    <s v="West Connorside"/>
    <n v="51747"/>
    <n v="584"/>
    <n v="13725"/>
    <n v="39"/>
    <n v="55"/>
    <x v="0"/>
    <n v="0"/>
    <x v="2"/>
    <n v="0.4395"/>
  </r>
  <r>
    <x v="1292"/>
    <s v="Rachaelburgh"/>
    <n v="133891"/>
    <n v="675"/>
    <n v="34838"/>
    <n v="0"/>
    <n v="60"/>
    <x v="1"/>
    <n v="1"/>
    <x v="1"/>
    <n v="0.4395"/>
  </r>
  <r>
    <x v="1293"/>
    <s v="North Jameshaven"/>
    <n v="70319"/>
    <n v="451"/>
    <n v="48772"/>
    <n v="17"/>
    <n v="35"/>
    <x v="0"/>
    <n v="0"/>
    <x v="2"/>
    <n v="0.4395"/>
  </r>
  <r>
    <x v="1294"/>
    <s v="Lake William"/>
    <n v="107993"/>
    <n v="477"/>
    <n v="42635"/>
    <n v="0"/>
    <n v="35"/>
    <x v="0"/>
    <n v="0"/>
    <x v="2"/>
    <n v="0.4395"/>
  </r>
  <r>
    <x v="1295"/>
    <s v="Carrollland"/>
    <n v="128167"/>
    <n v="774"/>
    <n v="6777"/>
    <n v="7"/>
    <n v="90"/>
    <x v="1"/>
    <n v="1"/>
    <x v="3"/>
    <n v="0.4395"/>
  </r>
  <r>
    <x v="1296"/>
    <s v="Brittanytown"/>
    <n v="138034"/>
    <n v="473"/>
    <n v="1684"/>
    <n v="13"/>
    <n v="60"/>
    <x v="1"/>
    <n v="1"/>
    <x v="2"/>
    <n v="0.4395"/>
  </r>
  <r>
    <x v="1297"/>
    <s v="West Mary"/>
    <n v="104607"/>
    <n v="495"/>
    <n v="49982"/>
    <n v="8"/>
    <n v="40"/>
    <x v="0"/>
    <n v="0"/>
    <x v="2"/>
    <n v="0.4395"/>
  </r>
  <r>
    <x v="1298"/>
    <s v="Donaldmouth"/>
    <n v="67828"/>
    <n v="723"/>
    <n v="15808"/>
    <n v="12"/>
    <n v="70"/>
    <x v="1"/>
    <n v="1"/>
    <x v="1"/>
    <n v="0.4395"/>
  </r>
  <r>
    <x v="1299"/>
    <s v="Heidiview"/>
    <n v="87560"/>
    <n v="394"/>
    <n v="33105"/>
    <n v="22"/>
    <n v="45"/>
    <x v="0"/>
    <n v="0"/>
    <x v="0"/>
    <n v="0.4395"/>
  </r>
  <r>
    <x v="1300"/>
    <s v="Gallegosburgh"/>
    <n v="46299"/>
    <n v="337"/>
    <n v="39353"/>
    <n v="24"/>
    <n v="25"/>
    <x v="0"/>
    <n v="0"/>
    <x v="0"/>
    <n v="0.4395"/>
  </r>
  <r>
    <x v="1301"/>
    <s v="Reedport"/>
    <n v="91433"/>
    <n v="512"/>
    <n v="23425"/>
    <n v="32"/>
    <n v="45"/>
    <x v="0"/>
    <n v="0"/>
    <x v="2"/>
    <n v="0.4395"/>
  </r>
  <r>
    <x v="1302"/>
    <s v="West Jeffery"/>
    <n v="120266"/>
    <n v="567"/>
    <n v="3060"/>
    <n v="7"/>
    <n v="55"/>
    <x v="0"/>
    <n v="0"/>
    <x v="2"/>
    <n v="0.4395"/>
  </r>
  <r>
    <x v="1303"/>
    <s v="Willisstad"/>
    <n v="69857"/>
    <n v="686"/>
    <n v="44142"/>
    <n v="37"/>
    <n v="60"/>
    <x v="1"/>
    <n v="1"/>
    <x v="1"/>
    <n v="0.4395"/>
  </r>
  <r>
    <x v="1304"/>
    <s v="Mistytown"/>
    <n v="121715"/>
    <n v="462"/>
    <n v="28617"/>
    <n v="30"/>
    <n v="55"/>
    <x v="0"/>
    <n v="0"/>
    <x v="2"/>
    <n v="0.4395"/>
  </r>
  <r>
    <x v="1305"/>
    <s v="Port Andrew"/>
    <n v="82757"/>
    <n v="767"/>
    <n v="39900"/>
    <n v="36"/>
    <n v="75"/>
    <x v="1"/>
    <n v="1"/>
    <x v="3"/>
    <n v="0.4395"/>
  </r>
  <r>
    <x v="1306"/>
    <s v="West Jennifer"/>
    <n v="65683"/>
    <n v="645"/>
    <n v="32624"/>
    <n v="25"/>
    <n v="50"/>
    <x v="0"/>
    <n v="0"/>
    <x v="1"/>
    <n v="0.4395"/>
  </r>
  <r>
    <x v="1307"/>
    <s v="South Ronaldview"/>
    <n v="95597"/>
    <n v="710"/>
    <n v="39867"/>
    <n v="1"/>
    <n v="50"/>
    <x v="0"/>
    <n v="0"/>
    <x v="1"/>
    <n v="0.4395"/>
  </r>
  <r>
    <x v="1308"/>
    <s v="New Karen"/>
    <n v="100776"/>
    <n v="433"/>
    <n v="44477"/>
    <n v="21"/>
    <n v="45"/>
    <x v="0"/>
    <n v="0"/>
    <x v="0"/>
    <n v="0.4395"/>
  </r>
  <r>
    <x v="1309"/>
    <s v="Port Michael"/>
    <n v="94722"/>
    <n v="705"/>
    <n v="11835"/>
    <n v="29"/>
    <n v="75"/>
    <x v="1"/>
    <n v="1"/>
    <x v="1"/>
    <n v="0.4395"/>
  </r>
  <r>
    <x v="1310"/>
    <s v="Kyleburgh"/>
    <n v="87377"/>
    <n v="541"/>
    <n v="14324"/>
    <n v="27"/>
    <n v="50"/>
    <x v="0"/>
    <n v="0"/>
    <x v="2"/>
    <n v="0.4395"/>
  </r>
  <r>
    <x v="1311"/>
    <s v="Adamburgh"/>
    <n v="40543"/>
    <n v="652"/>
    <n v="7547"/>
    <n v="30"/>
    <n v="50"/>
    <x v="0"/>
    <n v="0"/>
    <x v="1"/>
    <n v="0.4395"/>
  </r>
  <r>
    <x v="1312"/>
    <s v="Barnettmouth"/>
    <n v="108385"/>
    <n v="548"/>
    <n v="7279"/>
    <n v="24"/>
    <n v="60"/>
    <x v="1"/>
    <n v="1"/>
    <x v="2"/>
    <n v="0.4395"/>
  </r>
  <r>
    <x v="1313"/>
    <s v="Rachaelchester"/>
    <n v="35224"/>
    <n v="703"/>
    <n v="36003"/>
    <n v="4"/>
    <n v="40"/>
    <x v="0"/>
    <n v="0"/>
    <x v="1"/>
    <n v="0.4395"/>
  </r>
  <r>
    <x v="1314"/>
    <s v="East Nicoleburgh"/>
    <n v="146578"/>
    <n v="540"/>
    <n v="25191"/>
    <n v="23"/>
    <n v="55"/>
    <x v="0"/>
    <n v="0"/>
    <x v="2"/>
    <n v="0.4395"/>
  </r>
  <r>
    <x v="1315"/>
    <s v="Melendezbury"/>
    <n v="86626"/>
    <n v="441"/>
    <n v="33764"/>
    <n v="12"/>
    <n v="45"/>
    <x v="0"/>
    <n v="0"/>
    <x v="0"/>
    <n v="0.4395"/>
  </r>
  <r>
    <x v="1316"/>
    <s v="Valdezchester"/>
    <n v="126276"/>
    <n v="454"/>
    <n v="19675"/>
    <n v="19"/>
    <n v="55"/>
    <x v="0"/>
    <n v="0"/>
    <x v="2"/>
    <n v="0.4395"/>
  </r>
  <r>
    <x v="1317"/>
    <s v="Whitefurt"/>
    <n v="72247"/>
    <n v="829"/>
    <n v="7975"/>
    <n v="29"/>
    <n v="85"/>
    <x v="1"/>
    <n v="1"/>
    <x v="3"/>
    <n v="0.4395"/>
  </r>
  <r>
    <x v="1318"/>
    <s v="Laratown"/>
    <n v="109129"/>
    <n v="464"/>
    <n v="21907"/>
    <n v="8"/>
    <n v="50"/>
    <x v="0"/>
    <n v="0"/>
    <x v="2"/>
    <n v="0.4395"/>
  </r>
  <r>
    <x v="1319"/>
    <s v="Valdezfurt"/>
    <n v="62816"/>
    <n v="732"/>
    <n v="4572"/>
    <n v="19"/>
    <n v="75"/>
    <x v="1"/>
    <n v="1"/>
    <x v="1"/>
    <n v="0.4395"/>
  </r>
  <r>
    <x v="1320"/>
    <s v="Shawfort"/>
    <n v="33390"/>
    <n v="643"/>
    <n v="36063"/>
    <n v="23"/>
    <n v="40"/>
    <x v="0"/>
    <n v="0"/>
    <x v="1"/>
    <n v="0.4395"/>
  </r>
  <r>
    <x v="1321"/>
    <s v="Bergland"/>
    <n v="41970"/>
    <n v="453"/>
    <n v="1455"/>
    <n v="21"/>
    <n v="40"/>
    <x v="0"/>
    <n v="0"/>
    <x v="2"/>
    <n v="0.4395"/>
  </r>
  <r>
    <x v="1322"/>
    <s v="Grahammouth"/>
    <n v="60005"/>
    <n v="588"/>
    <n v="3611"/>
    <n v="7"/>
    <n v="60"/>
    <x v="1"/>
    <n v="1"/>
    <x v="2"/>
    <n v="0.4395"/>
  </r>
  <r>
    <x v="1323"/>
    <s v="Johnnymouth"/>
    <n v="118381"/>
    <n v="603"/>
    <n v="2542"/>
    <n v="34"/>
    <n v="75"/>
    <x v="1"/>
    <n v="1"/>
    <x v="1"/>
    <n v="0.4395"/>
  </r>
  <r>
    <x v="1324"/>
    <s v="Nguyenton"/>
    <n v="139570"/>
    <n v="414"/>
    <n v="24412"/>
    <n v="2"/>
    <n v="45"/>
    <x v="0"/>
    <n v="0"/>
    <x v="0"/>
    <n v="0.4395"/>
  </r>
  <r>
    <x v="1325"/>
    <s v="East Jessicafort"/>
    <n v="142789"/>
    <n v="741"/>
    <n v="19002"/>
    <n v="22"/>
    <n v="90"/>
    <x v="1"/>
    <n v="1"/>
    <x v="1"/>
    <n v="0.4395"/>
  </r>
  <r>
    <x v="1326"/>
    <s v="Williamsmouth"/>
    <n v="105392"/>
    <n v="681"/>
    <n v="3509"/>
    <n v="9"/>
    <n v="80"/>
    <x v="1"/>
    <n v="1"/>
    <x v="1"/>
    <n v="0.4395"/>
  </r>
  <r>
    <x v="1327"/>
    <s v="South Williamland"/>
    <n v="106955"/>
    <n v="645"/>
    <n v="42729"/>
    <n v="19"/>
    <n v="65"/>
    <x v="1"/>
    <n v="1"/>
    <x v="1"/>
    <n v="0.4395"/>
  </r>
  <r>
    <x v="1328"/>
    <s v="Jenniferland"/>
    <n v="32719"/>
    <n v="743"/>
    <n v="8630"/>
    <n v="12"/>
    <n v="65"/>
    <x v="1"/>
    <n v="1"/>
    <x v="1"/>
    <n v="0.4395"/>
  </r>
  <r>
    <x v="1329"/>
    <s v="Lake Lauren"/>
    <n v="130238"/>
    <n v="683"/>
    <n v="38574"/>
    <n v="30"/>
    <n v="75"/>
    <x v="1"/>
    <n v="1"/>
    <x v="1"/>
    <n v="0.4395"/>
  </r>
  <r>
    <x v="1330"/>
    <s v="West Walter"/>
    <n v="118117"/>
    <n v="346"/>
    <n v="40624"/>
    <n v="25"/>
    <n v="50"/>
    <x v="0"/>
    <n v="0"/>
    <x v="0"/>
    <n v="0.4395"/>
  </r>
  <r>
    <x v="1331"/>
    <s v="Clarkchester"/>
    <n v="137665"/>
    <n v="432"/>
    <n v="19007"/>
    <n v="17"/>
    <n v="55"/>
    <x v="0"/>
    <n v="0"/>
    <x v="0"/>
    <n v="0.4395"/>
  </r>
  <r>
    <x v="1332"/>
    <s v="East Jeffreymouth"/>
    <n v="65325"/>
    <n v="526"/>
    <n v="5176"/>
    <n v="39"/>
    <n v="50"/>
    <x v="0"/>
    <n v="0"/>
    <x v="2"/>
    <n v="0.4395"/>
  </r>
  <r>
    <x v="1333"/>
    <s v="Waltersmouth"/>
    <n v="105529"/>
    <n v="698"/>
    <n v="32169"/>
    <n v="35"/>
    <n v="75"/>
    <x v="1"/>
    <n v="1"/>
    <x v="1"/>
    <n v="0.4395"/>
  </r>
  <r>
    <x v="1334"/>
    <s v="Hernandezfort"/>
    <n v="35273"/>
    <n v="515"/>
    <n v="35880"/>
    <n v="10"/>
    <n v="25"/>
    <x v="0"/>
    <n v="0"/>
    <x v="2"/>
    <n v="0.4395"/>
  </r>
  <r>
    <x v="1335"/>
    <s v="Lake Tommystad"/>
    <n v="130022"/>
    <n v="385"/>
    <n v="14602"/>
    <n v="33"/>
    <n v="55"/>
    <x v="0"/>
    <n v="0"/>
    <x v="0"/>
    <n v="0.4395"/>
  </r>
  <r>
    <x v="1336"/>
    <s v="Johnsonshire"/>
    <n v="129125"/>
    <n v="470"/>
    <n v="41911"/>
    <n v="22"/>
    <n v="50"/>
    <x v="0"/>
    <n v="0"/>
    <x v="2"/>
    <n v="0.4395"/>
  </r>
  <r>
    <x v="1337"/>
    <s v="Angelafort"/>
    <n v="52962"/>
    <n v="540"/>
    <n v="25594"/>
    <n v="34"/>
    <n v="35"/>
    <x v="0"/>
    <n v="0"/>
    <x v="2"/>
    <n v="0.4395"/>
  </r>
  <r>
    <x v="1338"/>
    <s v="South Jefferyville"/>
    <n v="91669"/>
    <n v="596"/>
    <n v="12706"/>
    <n v="10"/>
    <n v="65"/>
    <x v="1"/>
    <n v="1"/>
    <x v="2"/>
    <n v="0.4395"/>
  </r>
  <r>
    <x v="1339"/>
    <s v="Bellborough"/>
    <n v="98021"/>
    <n v="728"/>
    <n v="40272"/>
    <n v="17"/>
    <n v="65"/>
    <x v="1"/>
    <n v="1"/>
    <x v="1"/>
    <n v="0.4395"/>
  </r>
  <r>
    <x v="1340"/>
    <s v="Wayneside"/>
    <n v="115394"/>
    <n v="701"/>
    <n v="15752"/>
    <n v="25"/>
    <n v="80"/>
    <x v="1"/>
    <n v="1"/>
    <x v="1"/>
    <n v="0.4395"/>
  </r>
  <r>
    <x v="1341"/>
    <s v="South Keith"/>
    <n v="87963"/>
    <n v="845"/>
    <n v="22892"/>
    <n v="29"/>
    <n v="85"/>
    <x v="1"/>
    <n v="1"/>
    <x v="3"/>
    <n v="0.4395"/>
  </r>
  <r>
    <x v="1342"/>
    <s v="Mccannchester"/>
    <n v="66458"/>
    <n v="493"/>
    <n v="42708"/>
    <n v="1"/>
    <n v="20"/>
    <x v="0"/>
    <n v="0"/>
    <x v="2"/>
    <n v="0.4395"/>
  </r>
  <r>
    <x v="1343"/>
    <s v="New Ashleychester"/>
    <n v="53788"/>
    <n v="323"/>
    <n v="22300"/>
    <n v="39"/>
    <n v="35"/>
    <x v="0"/>
    <n v="0"/>
    <x v="0"/>
    <n v="0.4395"/>
  </r>
  <r>
    <x v="1344"/>
    <s v="West Andrewfurt"/>
    <n v="106720"/>
    <n v="823"/>
    <n v="13650"/>
    <n v="10"/>
    <n v="95"/>
    <x v="1"/>
    <n v="1"/>
    <x v="3"/>
    <n v="0.4395"/>
  </r>
  <r>
    <x v="1345"/>
    <s v="Gilesborough"/>
    <n v="87132"/>
    <n v="630"/>
    <n v="9693"/>
    <n v="18"/>
    <n v="65"/>
    <x v="1"/>
    <n v="1"/>
    <x v="1"/>
    <n v="0.4395"/>
  </r>
  <r>
    <x v="1346"/>
    <s v="Sanchezmouth"/>
    <n v="113202"/>
    <n v="547"/>
    <n v="12591"/>
    <n v="29"/>
    <n v="55"/>
    <x v="0"/>
    <n v="0"/>
    <x v="2"/>
    <n v="0.4395"/>
  </r>
  <r>
    <x v="1347"/>
    <s v="Monicaburgh"/>
    <n v="136724"/>
    <n v="550"/>
    <n v="31291"/>
    <n v="4"/>
    <n v="45"/>
    <x v="0"/>
    <n v="0"/>
    <x v="2"/>
    <n v="0.4395"/>
  </r>
  <r>
    <x v="1348"/>
    <s v="Atkinsland"/>
    <n v="94451"/>
    <n v="727"/>
    <n v="18041"/>
    <n v="34"/>
    <n v="75"/>
    <x v="1"/>
    <n v="1"/>
    <x v="1"/>
    <n v="0.4395"/>
  </r>
  <r>
    <x v="1349"/>
    <s v="South Timothyton"/>
    <n v="41959"/>
    <n v="599"/>
    <n v="27109"/>
    <n v="2"/>
    <n v="30"/>
    <x v="0"/>
    <n v="0"/>
    <x v="2"/>
    <n v="0.4395"/>
  </r>
  <r>
    <x v="1350"/>
    <s v="Pattersonville"/>
    <n v="91605"/>
    <n v="406"/>
    <n v="10567"/>
    <n v="16"/>
    <n v="50"/>
    <x v="0"/>
    <n v="0"/>
    <x v="0"/>
    <n v="0.4395"/>
  </r>
  <r>
    <x v="1351"/>
    <s v="West Robert"/>
    <n v="75607"/>
    <n v="647"/>
    <n v="10302"/>
    <n v="15"/>
    <n v="65"/>
    <x v="1"/>
    <n v="1"/>
    <x v="1"/>
    <n v="0.4395"/>
  </r>
  <r>
    <x v="1352"/>
    <s v="South Rachelfort"/>
    <n v="83523"/>
    <n v="550"/>
    <n v="18039"/>
    <n v="21"/>
    <n v="50"/>
    <x v="0"/>
    <n v="0"/>
    <x v="2"/>
    <n v="0.4395"/>
  </r>
  <r>
    <x v="1353"/>
    <s v="Ashleyton"/>
    <n v="73687"/>
    <n v="443"/>
    <n v="10700"/>
    <n v="33"/>
    <n v="45"/>
    <x v="0"/>
    <n v="0"/>
    <x v="0"/>
    <n v="0.4395"/>
  </r>
  <r>
    <x v="1354"/>
    <s v="Jenniferport"/>
    <n v="72081"/>
    <n v="462"/>
    <n v="38200"/>
    <n v="40"/>
    <n v="35"/>
    <x v="0"/>
    <n v="0"/>
    <x v="2"/>
    <n v="0.4395"/>
  </r>
  <r>
    <x v="1355"/>
    <s v="Lake Linda"/>
    <n v="117835"/>
    <n v="431"/>
    <n v="10602"/>
    <n v="38"/>
    <n v="60"/>
    <x v="1"/>
    <n v="1"/>
    <x v="0"/>
    <n v="0.4395"/>
  </r>
  <r>
    <x v="1356"/>
    <s v="Port Jasonport"/>
    <n v="43710"/>
    <n v="451"/>
    <n v="39288"/>
    <n v="0"/>
    <n v="10"/>
    <x v="0"/>
    <n v="0"/>
    <x v="2"/>
    <n v="0.4395"/>
  </r>
  <r>
    <x v="1357"/>
    <s v="Woodsburgh"/>
    <n v="142424"/>
    <n v="652"/>
    <n v="43195"/>
    <n v="9"/>
    <n v="60"/>
    <x v="1"/>
    <n v="1"/>
    <x v="1"/>
    <n v="0.4395"/>
  </r>
  <r>
    <x v="1358"/>
    <s v="Grimesfort"/>
    <n v="51079"/>
    <n v="473"/>
    <n v="35421"/>
    <n v="30"/>
    <n v="35"/>
    <x v="0"/>
    <n v="0"/>
    <x v="2"/>
    <n v="0.4395"/>
  </r>
  <r>
    <x v="1359"/>
    <s v="West Jeffreyborough"/>
    <n v="73228"/>
    <n v="529"/>
    <n v="10836"/>
    <n v="17"/>
    <n v="45"/>
    <x v="0"/>
    <n v="0"/>
    <x v="2"/>
    <n v="0.4395"/>
  </r>
  <r>
    <x v="1360"/>
    <s v="West Victor"/>
    <n v="83955"/>
    <n v="312"/>
    <n v="49906"/>
    <n v="33"/>
    <n v="40"/>
    <x v="0"/>
    <n v="0"/>
    <x v="0"/>
    <n v="0.4395"/>
  </r>
  <r>
    <x v="1361"/>
    <s v="South Conniemouth"/>
    <n v="120921"/>
    <n v="819"/>
    <n v="5403"/>
    <n v="17"/>
    <n v="100"/>
    <x v="1"/>
    <n v="1"/>
    <x v="3"/>
    <n v="0.4395"/>
  </r>
  <r>
    <x v="1362"/>
    <s v="Port Brianshire"/>
    <n v="94942"/>
    <n v="835"/>
    <n v="17251"/>
    <n v="15"/>
    <n v="90"/>
    <x v="1"/>
    <n v="1"/>
    <x v="3"/>
    <n v="0.4395"/>
  </r>
  <r>
    <x v="1363"/>
    <s v="East Hannah"/>
    <n v="67777"/>
    <n v="767"/>
    <n v="12628"/>
    <n v="2"/>
    <n v="70"/>
    <x v="1"/>
    <n v="1"/>
    <x v="3"/>
    <n v="0.4395"/>
  </r>
  <r>
    <x v="1364"/>
    <s v="Lake Mariah"/>
    <n v="116846"/>
    <n v="365"/>
    <n v="9686"/>
    <n v="33"/>
    <n v="60"/>
    <x v="1"/>
    <n v="1"/>
    <x v="0"/>
    <n v="0.4395"/>
  </r>
  <r>
    <x v="1365"/>
    <s v="Marshallside"/>
    <n v="82488"/>
    <n v="352"/>
    <n v="21896"/>
    <n v="40"/>
    <n v="45"/>
    <x v="0"/>
    <n v="0"/>
    <x v="0"/>
    <n v="0.4395"/>
  </r>
  <r>
    <x v="1366"/>
    <s v="Gonzalezside"/>
    <n v="136635"/>
    <n v="520"/>
    <n v="40209"/>
    <n v="31"/>
    <n v="50"/>
    <x v="0"/>
    <n v="0"/>
    <x v="2"/>
    <n v="0.4395"/>
  </r>
  <r>
    <x v="1367"/>
    <s v="Lake Oliviaborough"/>
    <n v="129680"/>
    <n v="767"/>
    <n v="1032"/>
    <n v="16"/>
    <n v="95"/>
    <x v="1"/>
    <n v="1"/>
    <x v="3"/>
    <n v="0.4395"/>
  </r>
  <r>
    <x v="1368"/>
    <s v="West William"/>
    <n v="102102"/>
    <n v="826"/>
    <n v="19596"/>
    <n v="19"/>
    <n v="95"/>
    <x v="1"/>
    <n v="1"/>
    <x v="3"/>
    <n v="0.4395"/>
  </r>
  <r>
    <x v="1369"/>
    <s v="Connieville"/>
    <n v="34809"/>
    <n v="486"/>
    <n v="32954"/>
    <n v="0"/>
    <n v="10"/>
    <x v="0"/>
    <n v="0"/>
    <x v="2"/>
    <n v="0.4395"/>
  </r>
  <r>
    <x v="1370"/>
    <s v="East Cameron"/>
    <n v="89614"/>
    <n v="742"/>
    <n v="45104"/>
    <n v="19"/>
    <n v="75"/>
    <x v="1"/>
    <n v="1"/>
    <x v="1"/>
    <n v="0.4395"/>
  </r>
  <r>
    <x v="1371"/>
    <s v="East Kimberly"/>
    <n v="41542"/>
    <n v="537"/>
    <n v="14973"/>
    <n v="19"/>
    <n v="30"/>
    <x v="0"/>
    <n v="0"/>
    <x v="2"/>
    <n v="0.4395"/>
  </r>
  <r>
    <x v="1372"/>
    <s v="Lake Kevinborough"/>
    <n v="71224"/>
    <n v="458"/>
    <n v="22218"/>
    <n v="10"/>
    <n v="40"/>
    <x v="0"/>
    <n v="0"/>
    <x v="2"/>
    <n v="0.4395"/>
  </r>
  <r>
    <x v="1373"/>
    <s v="New Elaine"/>
    <n v="63082"/>
    <n v="633"/>
    <n v="34847"/>
    <n v="30"/>
    <n v="50"/>
    <x v="0"/>
    <n v="0"/>
    <x v="1"/>
    <n v="0.4395"/>
  </r>
  <r>
    <x v="1374"/>
    <s v="Jeremyview"/>
    <n v="72372"/>
    <n v="783"/>
    <n v="20897"/>
    <n v="23"/>
    <n v="75"/>
    <x v="1"/>
    <n v="1"/>
    <x v="3"/>
    <n v="0.4395"/>
  </r>
  <r>
    <x v="1375"/>
    <s v="Shannonchester"/>
    <n v="45194"/>
    <n v="702"/>
    <n v="28336"/>
    <n v="0"/>
    <n v="35"/>
    <x v="0"/>
    <n v="0"/>
    <x v="1"/>
    <n v="0.4395"/>
  </r>
  <r>
    <x v="1376"/>
    <s v="Debbieberg"/>
    <n v="131259"/>
    <n v="767"/>
    <n v="18970"/>
    <n v="1"/>
    <n v="75"/>
    <x v="1"/>
    <n v="1"/>
    <x v="3"/>
    <n v="0.4395"/>
  </r>
  <r>
    <x v="1377"/>
    <s v="Kennethstad"/>
    <n v="82976"/>
    <n v="324"/>
    <n v="22092"/>
    <n v="27"/>
    <n v="45"/>
    <x v="0"/>
    <n v="0"/>
    <x v="0"/>
    <n v="0.4395"/>
  </r>
  <r>
    <x v="1378"/>
    <s v="Port Jason"/>
    <n v="143365"/>
    <n v="815"/>
    <n v="29842"/>
    <n v="17"/>
    <n v="95"/>
    <x v="1"/>
    <n v="1"/>
    <x v="3"/>
    <n v="0.4395"/>
  </r>
  <r>
    <x v="1379"/>
    <s v="Davidshire"/>
    <n v="97449"/>
    <n v="781"/>
    <n v="4014"/>
    <n v="24"/>
    <n v="90"/>
    <x v="1"/>
    <n v="1"/>
    <x v="3"/>
    <n v="0.4395"/>
  </r>
  <r>
    <x v="1380"/>
    <s v="Valerieshire"/>
    <n v="138124"/>
    <n v="684"/>
    <n v="4887"/>
    <n v="6"/>
    <n v="80"/>
    <x v="1"/>
    <n v="1"/>
    <x v="1"/>
    <n v="0.4395"/>
  </r>
  <r>
    <x v="1381"/>
    <s v="Mcleanville"/>
    <n v="30150"/>
    <n v="783"/>
    <n v="9800"/>
    <n v="4"/>
    <n v="55"/>
    <x v="0"/>
    <n v="0"/>
    <x v="3"/>
    <n v="0.4395"/>
  </r>
  <r>
    <x v="1382"/>
    <s v="Port Edward"/>
    <n v="116200"/>
    <n v="606"/>
    <n v="38623"/>
    <n v="12"/>
    <n v="65"/>
    <x v="1"/>
    <n v="1"/>
    <x v="1"/>
    <n v="0.4395"/>
  </r>
  <r>
    <x v="1383"/>
    <s v="Angelaport"/>
    <n v="143949"/>
    <n v="322"/>
    <n v="10205"/>
    <n v="4"/>
    <n v="50"/>
    <x v="0"/>
    <n v="0"/>
    <x v="0"/>
    <n v="0.4395"/>
  </r>
  <r>
    <x v="1384"/>
    <s v="Rebeccamouth"/>
    <n v="101118"/>
    <n v="519"/>
    <n v="13067"/>
    <n v="20"/>
    <n v="55"/>
    <x v="0"/>
    <n v="0"/>
    <x v="2"/>
    <n v="0.4395"/>
  </r>
  <r>
    <x v="1385"/>
    <s v="Jonathantown"/>
    <n v="90552"/>
    <n v="443"/>
    <n v="8811"/>
    <n v="26"/>
    <n v="55"/>
    <x v="0"/>
    <n v="0"/>
    <x v="0"/>
    <n v="0.4395"/>
  </r>
  <r>
    <x v="1386"/>
    <s v="New Nathanielshire"/>
    <n v="84165"/>
    <n v="747"/>
    <n v="3102"/>
    <n v="32"/>
    <n v="90"/>
    <x v="1"/>
    <n v="1"/>
    <x v="1"/>
    <n v="0.4395"/>
  </r>
  <r>
    <x v="1387"/>
    <s v="Baileyland"/>
    <n v="37104"/>
    <n v="377"/>
    <n v="38047"/>
    <n v="5"/>
    <n v="20"/>
    <x v="0"/>
    <n v="0"/>
    <x v="0"/>
    <n v="0.4395"/>
  </r>
  <r>
    <x v="1388"/>
    <s v="New Sandraborough"/>
    <n v="54586"/>
    <n v="374"/>
    <n v="45823"/>
    <n v="27"/>
    <n v="35"/>
    <x v="0"/>
    <n v="0"/>
    <x v="0"/>
    <n v="0.4395"/>
  </r>
  <r>
    <x v="1389"/>
    <s v="Lake Mark"/>
    <n v="97952"/>
    <n v="486"/>
    <n v="43456"/>
    <n v="36"/>
    <n v="40"/>
    <x v="0"/>
    <n v="0"/>
    <x v="2"/>
    <n v="0.4395"/>
  </r>
  <r>
    <x v="1390"/>
    <s v="Prestonfurt"/>
    <n v="77419"/>
    <n v="600"/>
    <n v="1416"/>
    <n v="39"/>
    <n v="70"/>
    <x v="1"/>
    <n v="1"/>
    <x v="2"/>
    <n v="0.4395"/>
  </r>
  <r>
    <x v="1391"/>
    <s v="Hernandezbury"/>
    <n v="111609"/>
    <n v="634"/>
    <n v="35889"/>
    <n v="29"/>
    <n v="65"/>
    <x v="1"/>
    <n v="1"/>
    <x v="1"/>
    <n v="0.4395"/>
  </r>
  <r>
    <x v="1392"/>
    <s v="Patriciashire"/>
    <n v="129148"/>
    <n v="456"/>
    <n v="13376"/>
    <n v="9"/>
    <n v="50"/>
    <x v="0"/>
    <n v="0"/>
    <x v="2"/>
    <n v="0.4395"/>
  </r>
  <r>
    <x v="1393"/>
    <s v="Port Davidstad"/>
    <n v="95338"/>
    <n v="370"/>
    <n v="22460"/>
    <n v="20"/>
    <n v="50"/>
    <x v="0"/>
    <n v="0"/>
    <x v="0"/>
    <n v="0.4395"/>
  </r>
  <r>
    <x v="1394"/>
    <s v="Port Michael"/>
    <n v="111973"/>
    <n v="440"/>
    <n v="29812"/>
    <n v="7"/>
    <n v="45"/>
    <x v="0"/>
    <n v="0"/>
    <x v="0"/>
    <n v="0.4395"/>
  </r>
  <r>
    <x v="1395"/>
    <s v="South Brandon"/>
    <n v="87939"/>
    <n v="749"/>
    <n v="27160"/>
    <n v="12"/>
    <n v="80"/>
    <x v="1"/>
    <n v="1"/>
    <x v="1"/>
    <n v="0.4395"/>
  </r>
  <r>
    <x v="1396"/>
    <s v="East Williamshire"/>
    <n v="129613"/>
    <n v="828"/>
    <n v="8975"/>
    <n v="10"/>
    <n v="100"/>
    <x v="1"/>
    <n v="1"/>
    <x v="3"/>
    <n v="0.4395"/>
  </r>
  <r>
    <x v="1397"/>
    <s v="Karamouth"/>
    <n v="36764"/>
    <n v="725"/>
    <n v="13516"/>
    <n v="13"/>
    <n v="55"/>
    <x v="0"/>
    <n v="0"/>
    <x v="1"/>
    <n v="0.4395"/>
  </r>
  <r>
    <x v="1398"/>
    <s v="South Allenfurt"/>
    <n v="56680"/>
    <n v="730"/>
    <n v="27234"/>
    <n v="6"/>
    <n v="55"/>
    <x v="0"/>
    <n v="0"/>
    <x v="1"/>
    <n v="0.4395"/>
  </r>
  <r>
    <x v="1399"/>
    <s v="Bautistaport"/>
    <n v="65003"/>
    <n v="534"/>
    <n v="46954"/>
    <n v="5"/>
    <n v="30"/>
    <x v="0"/>
    <n v="0"/>
    <x v="2"/>
    <n v="0.4395"/>
  </r>
  <r>
    <x v="1400"/>
    <s v="West Jessicamouth"/>
    <n v="101987"/>
    <n v="346"/>
    <n v="10223"/>
    <n v="15"/>
    <n v="55"/>
    <x v="0"/>
    <n v="0"/>
    <x v="0"/>
    <n v="0.4395"/>
  </r>
  <r>
    <x v="1401"/>
    <s v="Lake Terry"/>
    <n v="47172"/>
    <n v="339"/>
    <n v="5009"/>
    <n v="38"/>
    <n v="35"/>
    <x v="0"/>
    <n v="0"/>
    <x v="0"/>
    <n v="0.4395"/>
  </r>
  <r>
    <x v="1402"/>
    <s v="Christinaburgh"/>
    <n v="67752"/>
    <n v="729"/>
    <n v="12299"/>
    <n v="11"/>
    <n v="70"/>
    <x v="1"/>
    <n v="1"/>
    <x v="1"/>
    <n v="0.4395"/>
  </r>
  <r>
    <x v="1403"/>
    <s v="West Natasha"/>
    <n v="87424"/>
    <n v="412"/>
    <n v="11641"/>
    <n v="1"/>
    <n v="35"/>
    <x v="0"/>
    <n v="0"/>
    <x v="0"/>
    <n v="0.4395"/>
  </r>
  <r>
    <x v="1404"/>
    <s v="Anthonytown"/>
    <n v="145454"/>
    <n v="639"/>
    <n v="2867"/>
    <n v="30"/>
    <n v="75"/>
    <x v="1"/>
    <n v="1"/>
    <x v="1"/>
    <n v="0.4395"/>
  </r>
  <r>
    <x v="1405"/>
    <s v="New Nicholashaven"/>
    <n v="121521"/>
    <n v="473"/>
    <n v="11365"/>
    <n v="6"/>
    <n v="55"/>
    <x v="0"/>
    <n v="0"/>
    <x v="2"/>
    <n v="0.4395"/>
  </r>
  <r>
    <x v="1406"/>
    <s v="North Tanyamouth"/>
    <n v="93532"/>
    <n v="725"/>
    <n v="36174"/>
    <n v="28"/>
    <n v="70"/>
    <x v="1"/>
    <n v="1"/>
    <x v="1"/>
    <n v="0.4395"/>
  </r>
  <r>
    <x v="1407"/>
    <s v="Thomasview"/>
    <n v="45915"/>
    <n v="431"/>
    <n v="22160"/>
    <n v="34"/>
    <n v="25"/>
    <x v="0"/>
    <n v="0"/>
    <x v="0"/>
    <n v="0.4395"/>
  </r>
  <r>
    <x v="1408"/>
    <s v="Vasquezshire"/>
    <n v="33783"/>
    <n v="500"/>
    <n v="9246"/>
    <n v="14"/>
    <n v="30"/>
    <x v="0"/>
    <n v="0"/>
    <x v="2"/>
    <n v="0.4395"/>
  </r>
  <r>
    <x v="1409"/>
    <s v="Lake Codyfurt"/>
    <n v="112578"/>
    <n v="589"/>
    <n v="41305"/>
    <n v="6"/>
    <n v="60"/>
    <x v="1"/>
    <n v="1"/>
    <x v="2"/>
    <n v="0.4395"/>
  </r>
  <r>
    <x v="1410"/>
    <s v="Markmouth"/>
    <n v="109806"/>
    <n v="832"/>
    <n v="34875"/>
    <n v="36"/>
    <n v="90"/>
    <x v="1"/>
    <n v="1"/>
    <x v="3"/>
    <n v="0.4395"/>
  </r>
  <r>
    <x v="1411"/>
    <s v="Donnashire"/>
    <n v="134767"/>
    <n v="335"/>
    <n v="26233"/>
    <n v="40"/>
    <n v="55"/>
    <x v="0"/>
    <n v="0"/>
    <x v="0"/>
    <n v="0.4395"/>
  </r>
  <r>
    <x v="1412"/>
    <s v="Lake Austin"/>
    <n v="61365"/>
    <n v="543"/>
    <n v="11609"/>
    <n v="25"/>
    <n v="45"/>
    <x v="0"/>
    <n v="0"/>
    <x v="2"/>
    <n v="0.4395"/>
  </r>
  <r>
    <x v="1413"/>
    <s v="Jacobshire"/>
    <n v="123032"/>
    <n v="715"/>
    <n v="30629"/>
    <n v="13"/>
    <n v="80"/>
    <x v="1"/>
    <n v="1"/>
    <x v="1"/>
    <n v="0.4395"/>
  </r>
  <r>
    <x v="1414"/>
    <s v="Dianahaven"/>
    <n v="50758"/>
    <n v="645"/>
    <n v="23102"/>
    <n v="11"/>
    <n v="50"/>
    <x v="0"/>
    <n v="0"/>
    <x v="1"/>
    <n v="0.4395"/>
  </r>
  <r>
    <x v="1415"/>
    <s v="Kathrynview"/>
    <n v="70730"/>
    <n v="364"/>
    <n v="24948"/>
    <n v="27"/>
    <n v="40"/>
    <x v="0"/>
    <n v="0"/>
    <x v="0"/>
    <n v="0.4395"/>
  </r>
  <r>
    <x v="1416"/>
    <s v="South Maria"/>
    <n v="102199"/>
    <n v="423"/>
    <n v="37075"/>
    <n v="18"/>
    <n v="50"/>
    <x v="0"/>
    <n v="0"/>
    <x v="0"/>
    <n v="0.4395"/>
  </r>
  <r>
    <x v="1417"/>
    <s v="Port Teresaburgh"/>
    <n v="31792"/>
    <n v="707"/>
    <n v="34482"/>
    <n v="12"/>
    <n v="50"/>
    <x v="0"/>
    <n v="0"/>
    <x v="1"/>
    <n v="0.4395"/>
  </r>
  <r>
    <x v="1418"/>
    <s v="Lake Julie"/>
    <n v="102384"/>
    <n v="838"/>
    <n v="40382"/>
    <n v="9"/>
    <n v="85"/>
    <x v="1"/>
    <n v="1"/>
    <x v="3"/>
    <n v="0.4395"/>
  </r>
  <r>
    <x v="1419"/>
    <s v="Amberhaven"/>
    <n v="83476"/>
    <n v="470"/>
    <n v="25541"/>
    <n v="10"/>
    <n v="45"/>
    <x v="0"/>
    <n v="0"/>
    <x v="2"/>
    <n v="0.4395"/>
  </r>
  <r>
    <x v="1420"/>
    <s v="Port Sarah"/>
    <n v="42217"/>
    <n v="455"/>
    <n v="36443"/>
    <n v="39"/>
    <n v="25"/>
    <x v="0"/>
    <n v="0"/>
    <x v="2"/>
    <n v="0.4395"/>
  </r>
  <r>
    <x v="1421"/>
    <s v="Phillipshaven"/>
    <n v="59451"/>
    <n v="731"/>
    <n v="32230"/>
    <n v="29"/>
    <n v="60"/>
    <x v="1"/>
    <n v="1"/>
    <x v="1"/>
    <n v="0.4395"/>
  </r>
  <r>
    <x v="1422"/>
    <s v="West Jeanetteport"/>
    <n v="140284"/>
    <n v="513"/>
    <n v="49068"/>
    <n v="39"/>
    <n v="50"/>
    <x v="0"/>
    <n v="0"/>
    <x v="2"/>
    <n v="0.4395"/>
  </r>
  <r>
    <x v="1423"/>
    <s v="East Timothy"/>
    <n v="149659"/>
    <n v="464"/>
    <n v="16890"/>
    <n v="25"/>
    <n v="55"/>
    <x v="0"/>
    <n v="0"/>
    <x v="2"/>
    <n v="0.4395"/>
  </r>
  <r>
    <x v="1424"/>
    <s v="East Mary"/>
    <n v="44871"/>
    <n v="372"/>
    <n v="15831"/>
    <n v="17"/>
    <n v="30"/>
    <x v="0"/>
    <n v="0"/>
    <x v="0"/>
    <n v="0.4395"/>
  </r>
  <r>
    <x v="1425"/>
    <s v="East Scott"/>
    <n v="90482"/>
    <n v="582"/>
    <n v="22461"/>
    <n v="0"/>
    <n v="50"/>
    <x v="0"/>
    <n v="0"/>
    <x v="2"/>
    <n v="0.4395"/>
  </r>
  <r>
    <x v="1426"/>
    <s v="Hallmouth"/>
    <n v="45396"/>
    <n v="605"/>
    <n v="9183"/>
    <n v="34"/>
    <n v="50"/>
    <x v="0"/>
    <n v="0"/>
    <x v="1"/>
    <n v="0.4395"/>
  </r>
  <r>
    <x v="1427"/>
    <s v="Nancyton"/>
    <n v="114896"/>
    <n v="690"/>
    <n v="17741"/>
    <n v="7"/>
    <n v="75"/>
    <x v="1"/>
    <n v="1"/>
    <x v="1"/>
    <n v="0.4395"/>
  </r>
  <r>
    <x v="1428"/>
    <s v="Blakebury"/>
    <n v="139070"/>
    <n v="835"/>
    <n v="7753"/>
    <n v="5"/>
    <n v="95"/>
    <x v="1"/>
    <n v="1"/>
    <x v="3"/>
    <n v="0.4395"/>
  </r>
  <r>
    <x v="1429"/>
    <s v="Copelandchester"/>
    <n v="50181"/>
    <n v="731"/>
    <n v="4712"/>
    <n v="40"/>
    <n v="75"/>
    <x v="1"/>
    <n v="1"/>
    <x v="1"/>
    <n v="0.4395"/>
  </r>
  <r>
    <x v="1430"/>
    <s v="Rebeccahaven"/>
    <n v="95323"/>
    <n v="636"/>
    <n v="28501"/>
    <n v="16"/>
    <n v="60"/>
    <x v="1"/>
    <n v="1"/>
    <x v="1"/>
    <n v="0.4395"/>
  </r>
  <r>
    <x v="1431"/>
    <s v="New Troy"/>
    <n v="123926"/>
    <n v="744"/>
    <n v="44622"/>
    <n v="17"/>
    <n v="85"/>
    <x v="1"/>
    <n v="1"/>
    <x v="1"/>
    <n v="0.4395"/>
  </r>
  <r>
    <x v="1432"/>
    <s v="Obrienfurt"/>
    <n v="68254"/>
    <n v="343"/>
    <n v="40430"/>
    <n v="6"/>
    <n v="30"/>
    <x v="0"/>
    <n v="0"/>
    <x v="0"/>
    <n v="0.4395"/>
  </r>
  <r>
    <x v="1433"/>
    <s v="North Tammybury"/>
    <n v="96698"/>
    <n v="669"/>
    <n v="39018"/>
    <n v="38"/>
    <n v="55"/>
    <x v="0"/>
    <n v="0"/>
    <x v="1"/>
    <n v="0.4395"/>
  </r>
  <r>
    <x v="1434"/>
    <s v="Deborahmouth"/>
    <n v="122459"/>
    <n v="771"/>
    <n v="38574"/>
    <n v="33"/>
    <n v="85"/>
    <x v="1"/>
    <n v="1"/>
    <x v="3"/>
    <n v="0.4395"/>
  </r>
  <r>
    <x v="1435"/>
    <s v="Caldwelltown"/>
    <n v="65838"/>
    <n v="521"/>
    <n v="38154"/>
    <n v="11"/>
    <n v="35"/>
    <x v="0"/>
    <n v="0"/>
    <x v="2"/>
    <n v="0.4395"/>
  </r>
  <r>
    <x v="1436"/>
    <s v="Phammouth"/>
    <n v="84459"/>
    <n v="559"/>
    <n v="24500"/>
    <n v="22"/>
    <n v="45"/>
    <x v="0"/>
    <n v="0"/>
    <x v="2"/>
    <n v="0.4395"/>
  </r>
  <r>
    <x v="1437"/>
    <s v="West Stephenview"/>
    <n v="139408"/>
    <n v="464"/>
    <n v="14721"/>
    <n v="35"/>
    <n v="55"/>
    <x v="0"/>
    <n v="0"/>
    <x v="2"/>
    <n v="0.4395"/>
  </r>
  <r>
    <x v="1438"/>
    <s v="Mullinsburgh"/>
    <n v="93242"/>
    <n v="811"/>
    <n v="6824"/>
    <n v="21"/>
    <n v="95"/>
    <x v="1"/>
    <n v="1"/>
    <x v="3"/>
    <n v="0.4395"/>
  </r>
  <r>
    <x v="1439"/>
    <s v="West Maria"/>
    <n v="91894"/>
    <n v="403"/>
    <n v="48313"/>
    <n v="5"/>
    <n v="35"/>
    <x v="0"/>
    <n v="0"/>
    <x v="0"/>
    <n v="0.4395"/>
  </r>
  <r>
    <x v="1440"/>
    <s v="Port Patrick"/>
    <n v="61946"/>
    <n v="571"/>
    <n v="47359"/>
    <n v="31"/>
    <n v="35"/>
    <x v="0"/>
    <n v="0"/>
    <x v="2"/>
    <n v="0.4395"/>
  </r>
  <r>
    <x v="1441"/>
    <s v="East Marcus"/>
    <n v="89871"/>
    <n v="414"/>
    <n v="13438"/>
    <n v="37"/>
    <n v="50"/>
    <x v="0"/>
    <n v="0"/>
    <x v="0"/>
    <n v="0.4395"/>
  </r>
  <r>
    <x v="1442"/>
    <s v="Katherineside"/>
    <n v="102255"/>
    <n v="482"/>
    <n v="27081"/>
    <n v="39"/>
    <n v="50"/>
    <x v="0"/>
    <n v="0"/>
    <x v="2"/>
    <n v="0.4395"/>
  </r>
  <r>
    <x v="1443"/>
    <s v="Phelpsberg"/>
    <n v="48958"/>
    <n v="648"/>
    <n v="35919"/>
    <n v="22"/>
    <n v="40"/>
    <x v="0"/>
    <n v="0"/>
    <x v="1"/>
    <n v="0.4395"/>
  </r>
  <r>
    <x v="1444"/>
    <s v="Christinaland"/>
    <n v="80277"/>
    <n v="631"/>
    <n v="15734"/>
    <n v="28"/>
    <n v="65"/>
    <x v="1"/>
    <n v="1"/>
    <x v="1"/>
    <n v="0.4395"/>
  </r>
  <r>
    <x v="1445"/>
    <s v="Anthonybury"/>
    <n v="54983"/>
    <n v="524"/>
    <n v="17079"/>
    <n v="14"/>
    <n v="40"/>
    <x v="0"/>
    <n v="0"/>
    <x v="2"/>
    <n v="0.4395"/>
  </r>
  <r>
    <x v="1446"/>
    <s v="Johntown"/>
    <n v="108561"/>
    <n v="794"/>
    <n v="29767"/>
    <n v="26"/>
    <n v="85"/>
    <x v="1"/>
    <n v="1"/>
    <x v="3"/>
    <n v="0.4395"/>
  </r>
  <r>
    <x v="1447"/>
    <s v="Port April"/>
    <n v="96616"/>
    <n v="709"/>
    <n v="42107"/>
    <n v="36"/>
    <n v="65"/>
    <x v="1"/>
    <n v="1"/>
    <x v="1"/>
    <n v="0.4395"/>
  </r>
  <r>
    <x v="1448"/>
    <s v="Lindaview"/>
    <n v="127818"/>
    <n v="741"/>
    <n v="25263"/>
    <n v="23"/>
    <n v="90"/>
    <x v="1"/>
    <n v="1"/>
    <x v="1"/>
    <n v="0.4395"/>
  </r>
  <r>
    <x v="1449"/>
    <s v="Chaseberg"/>
    <n v="145255"/>
    <n v="629"/>
    <n v="47034"/>
    <n v="15"/>
    <n v="65"/>
    <x v="1"/>
    <n v="1"/>
    <x v="1"/>
    <n v="0.4395"/>
  </r>
  <r>
    <x v="1450"/>
    <s v="Nicholsville"/>
    <n v="47892"/>
    <n v="533"/>
    <n v="48192"/>
    <n v="22"/>
    <n v="25"/>
    <x v="0"/>
    <n v="0"/>
    <x v="2"/>
    <n v="0.4395"/>
  </r>
  <r>
    <x v="1451"/>
    <s v="South Joseph"/>
    <n v="143249"/>
    <n v="354"/>
    <n v="31162"/>
    <n v="39"/>
    <n v="55"/>
    <x v="0"/>
    <n v="0"/>
    <x v="0"/>
    <n v="0.4395"/>
  </r>
  <r>
    <x v="1452"/>
    <s v="North Ann"/>
    <n v="39150"/>
    <n v="358"/>
    <n v="23780"/>
    <n v="30"/>
    <n v="25"/>
    <x v="0"/>
    <n v="0"/>
    <x v="0"/>
    <n v="0.4395"/>
  </r>
  <r>
    <x v="1453"/>
    <s v="Lake Joshuaview"/>
    <n v="66208"/>
    <n v="328"/>
    <n v="47767"/>
    <n v="38"/>
    <n v="35"/>
    <x v="0"/>
    <n v="0"/>
    <x v="0"/>
    <n v="0.4395"/>
  </r>
  <r>
    <x v="1454"/>
    <s v="Lake Shannon"/>
    <n v="131276"/>
    <n v="611"/>
    <n v="22661"/>
    <n v="14"/>
    <n v="70"/>
    <x v="1"/>
    <n v="1"/>
    <x v="1"/>
    <n v="0.4395"/>
  </r>
  <r>
    <x v="1455"/>
    <s v="Port Amber"/>
    <n v="133547"/>
    <n v="622"/>
    <n v="1444"/>
    <n v="39"/>
    <n v="75"/>
    <x v="1"/>
    <n v="1"/>
    <x v="1"/>
    <n v="0.4395"/>
  </r>
  <r>
    <x v="1456"/>
    <s v="New Brycechester"/>
    <n v="141989"/>
    <n v="465"/>
    <n v="49008"/>
    <n v="12"/>
    <n v="50"/>
    <x v="0"/>
    <n v="0"/>
    <x v="2"/>
    <n v="0.4395"/>
  </r>
  <r>
    <x v="1457"/>
    <s v="Port Howard"/>
    <n v="84387"/>
    <n v="806"/>
    <n v="48753"/>
    <n v="7"/>
    <n v="75"/>
    <x v="1"/>
    <n v="1"/>
    <x v="3"/>
    <n v="0.4395"/>
  </r>
  <r>
    <x v="1458"/>
    <s v="Ballardfurt"/>
    <n v="74548"/>
    <n v="785"/>
    <n v="10077"/>
    <n v="21"/>
    <n v="80"/>
    <x v="1"/>
    <n v="1"/>
    <x v="3"/>
    <n v="0.4395"/>
  </r>
  <r>
    <x v="1459"/>
    <s v="Kochfort"/>
    <n v="133247"/>
    <n v="392"/>
    <n v="13095"/>
    <n v="16"/>
    <n v="60"/>
    <x v="1"/>
    <n v="1"/>
    <x v="0"/>
    <n v="0.4395"/>
  </r>
  <r>
    <x v="1460"/>
    <s v="West Shannonville"/>
    <n v="96550"/>
    <n v="836"/>
    <n v="17893"/>
    <n v="1"/>
    <n v="75"/>
    <x v="1"/>
    <n v="1"/>
    <x v="3"/>
    <n v="0.4395"/>
  </r>
  <r>
    <x v="1461"/>
    <s v="Codytown"/>
    <n v="65018"/>
    <n v="841"/>
    <n v="1824"/>
    <n v="0"/>
    <n v="75"/>
    <x v="1"/>
    <n v="1"/>
    <x v="3"/>
    <n v="0.4395"/>
  </r>
  <r>
    <x v="1462"/>
    <s v="Micheleburgh"/>
    <n v="137551"/>
    <n v="493"/>
    <n v="42712"/>
    <n v="39"/>
    <n v="50"/>
    <x v="0"/>
    <n v="0"/>
    <x v="2"/>
    <n v="0.4395"/>
  </r>
  <r>
    <x v="1463"/>
    <s v="New Neil"/>
    <n v="30336"/>
    <n v="481"/>
    <n v="29881"/>
    <n v="11"/>
    <n v="25"/>
    <x v="0"/>
    <n v="0"/>
    <x v="2"/>
    <n v="0.4395"/>
  </r>
  <r>
    <x v="1464"/>
    <s v="New Pamelaville"/>
    <n v="67072"/>
    <n v="619"/>
    <n v="20099"/>
    <n v="6"/>
    <n v="50"/>
    <x v="0"/>
    <n v="0"/>
    <x v="1"/>
    <n v="0.4395"/>
  </r>
  <r>
    <x v="1465"/>
    <s v="South Jamesberg"/>
    <n v="125164"/>
    <n v="645"/>
    <n v="30797"/>
    <n v="35"/>
    <n v="70"/>
    <x v="1"/>
    <n v="1"/>
    <x v="1"/>
    <n v="0.4395"/>
  </r>
  <r>
    <x v="1466"/>
    <s v="West Johnberg"/>
    <n v="69132"/>
    <n v="545"/>
    <n v="33162"/>
    <n v="12"/>
    <n v="35"/>
    <x v="0"/>
    <n v="0"/>
    <x v="2"/>
    <n v="0.4395"/>
  </r>
  <r>
    <x v="1467"/>
    <s v="Cochranshire"/>
    <n v="139769"/>
    <n v="401"/>
    <n v="35068"/>
    <n v="5"/>
    <n v="45"/>
    <x v="0"/>
    <n v="0"/>
    <x v="0"/>
    <n v="0.4395"/>
  </r>
  <r>
    <x v="1468"/>
    <s v="Shermanborough"/>
    <n v="106931"/>
    <n v="589"/>
    <n v="21992"/>
    <n v="8"/>
    <n v="65"/>
    <x v="1"/>
    <n v="1"/>
    <x v="2"/>
    <n v="0.4395"/>
  </r>
  <r>
    <x v="1469"/>
    <s v="Powellfurt"/>
    <n v="106011"/>
    <n v="384"/>
    <n v="33143"/>
    <n v="1"/>
    <n v="35"/>
    <x v="0"/>
    <n v="0"/>
    <x v="0"/>
    <n v="0.4395"/>
  </r>
  <r>
    <x v="1470"/>
    <s v="Gayport"/>
    <n v="116499"/>
    <n v="356"/>
    <n v="35573"/>
    <n v="2"/>
    <n v="40"/>
    <x v="0"/>
    <n v="0"/>
    <x v="0"/>
    <n v="0.4395"/>
  </r>
  <r>
    <x v="1471"/>
    <s v="Lake Lee"/>
    <n v="94178"/>
    <n v="349"/>
    <n v="36015"/>
    <n v="1"/>
    <n v="30"/>
    <x v="0"/>
    <n v="0"/>
    <x v="0"/>
    <n v="0.4395"/>
  </r>
  <r>
    <x v="1472"/>
    <s v="Port Marciachester"/>
    <n v="143411"/>
    <n v="820"/>
    <n v="35339"/>
    <n v="11"/>
    <n v="95"/>
    <x v="1"/>
    <n v="1"/>
    <x v="3"/>
    <n v="0.4395"/>
  </r>
  <r>
    <x v="1473"/>
    <s v="North Stephen"/>
    <n v="49476"/>
    <n v="490"/>
    <n v="15520"/>
    <n v="20"/>
    <n v="30"/>
    <x v="0"/>
    <n v="0"/>
    <x v="2"/>
    <n v="0.4395"/>
  </r>
  <r>
    <x v="1474"/>
    <s v="North Sandraborough"/>
    <n v="88529"/>
    <n v="419"/>
    <n v="20034"/>
    <n v="0"/>
    <n v="35"/>
    <x v="0"/>
    <n v="0"/>
    <x v="0"/>
    <n v="0.4395"/>
  </r>
  <r>
    <x v="1475"/>
    <s v="Traceyfurt"/>
    <n v="100592"/>
    <n v="533"/>
    <n v="25365"/>
    <n v="25"/>
    <n v="50"/>
    <x v="0"/>
    <n v="0"/>
    <x v="2"/>
    <n v="0.4395"/>
  </r>
  <r>
    <x v="1476"/>
    <s v="Nicolechester"/>
    <n v="93483"/>
    <n v="617"/>
    <n v="14426"/>
    <n v="17"/>
    <n v="65"/>
    <x v="1"/>
    <n v="1"/>
    <x v="1"/>
    <n v="0.4395"/>
  </r>
  <r>
    <x v="1477"/>
    <s v="Ramirezborough"/>
    <n v="75236"/>
    <n v="799"/>
    <n v="17608"/>
    <n v="38"/>
    <n v="85"/>
    <x v="1"/>
    <n v="1"/>
    <x v="3"/>
    <n v="0.4395"/>
  </r>
  <r>
    <x v="1478"/>
    <s v="Andersonbury"/>
    <n v="73573"/>
    <n v="372"/>
    <n v="42785"/>
    <n v="7"/>
    <n v="30"/>
    <x v="0"/>
    <n v="0"/>
    <x v="0"/>
    <n v="0.4395"/>
  </r>
  <r>
    <x v="1479"/>
    <s v="New Mark"/>
    <n v="102340"/>
    <n v="562"/>
    <n v="45623"/>
    <n v="25"/>
    <n v="45"/>
    <x v="0"/>
    <n v="0"/>
    <x v="2"/>
    <n v="0.4395"/>
  </r>
  <r>
    <x v="1480"/>
    <s v="Danielville"/>
    <n v="129991"/>
    <n v="704"/>
    <n v="14246"/>
    <n v="5"/>
    <n v="75"/>
    <x v="1"/>
    <n v="1"/>
    <x v="1"/>
    <n v="0.4395"/>
  </r>
  <r>
    <x v="1481"/>
    <s v="South Timothyville"/>
    <n v="101228"/>
    <n v="534"/>
    <n v="3492"/>
    <n v="24"/>
    <n v="60"/>
    <x v="1"/>
    <n v="1"/>
    <x v="2"/>
    <n v="0.4395"/>
  </r>
  <r>
    <x v="1482"/>
    <s v="South Christina"/>
    <n v="79441"/>
    <n v="748"/>
    <n v="49388"/>
    <n v="9"/>
    <n v="70"/>
    <x v="1"/>
    <n v="1"/>
    <x v="1"/>
    <n v="0.4395"/>
  </r>
  <r>
    <x v="1483"/>
    <s v="Port Jason"/>
    <n v="89682"/>
    <n v="625"/>
    <n v="3867"/>
    <n v="36"/>
    <n v="70"/>
    <x v="1"/>
    <n v="1"/>
    <x v="1"/>
    <n v="0.4395"/>
  </r>
  <r>
    <x v="1484"/>
    <s v="Sandrastad"/>
    <n v="72176"/>
    <n v="773"/>
    <n v="14149"/>
    <n v="3"/>
    <n v="70"/>
    <x v="1"/>
    <n v="1"/>
    <x v="3"/>
    <n v="0.4395"/>
  </r>
  <r>
    <x v="1485"/>
    <s v="East Jackborough"/>
    <n v="143980"/>
    <n v="643"/>
    <n v="44123"/>
    <n v="28"/>
    <n v="65"/>
    <x v="1"/>
    <n v="1"/>
    <x v="1"/>
    <n v="0.4395"/>
  </r>
  <r>
    <x v="1486"/>
    <s v="Angelaberg"/>
    <n v="54727"/>
    <n v="625"/>
    <n v="4716"/>
    <n v="7"/>
    <n v="60"/>
    <x v="1"/>
    <n v="1"/>
    <x v="1"/>
    <n v="0.4395"/>
  </r>
  <r>
    <x v="1487"/>
    <s v="Lake Sarah"/>
    <n v="121422"/>
    <n v="679"/>
    <n v="3518"/>
    <n v="9"/>
    <n v="80"/>
    <x v="1"/>
    <n v="1"/>
    <x v="1"/>
    <n v="0.4395"/>
  </r>
  <r>
    <x v="1488"/>
    <s v="New Brianfurt"/>
    <n v="61300"/>
    <n v="422"/>
    <n v="15714"/>
    <n v="40"/>
    <n v="40"/>
    <x v="0"/>
    <n v="0"/>
    <x v="0"/>
    <n v="0.4395"/>
  </r>
  <r>
    <x v="1489"/>
    <s v="Pinedafurt"/>
    <n v="104946"/>
    <n v="589"/>
    <n v="45932"/>
    <n v="39"/>
    <n v="60"/>
    <x v="1"/>
    <n v="1"/>
    <x v="2"/>
    <n v="0.4395"/>
  </r>
  <r>
    <x v="1490"/>
    <s v="Salazarstad"/>
    <n v="80196"/>
    <n v="765"/>
    <n v="32400"/>
    <n v="9"/>
    <n v="70"/>
    <x v="1"/>
    <n v="1"/>
    <x v="3"/>
    <n v="0.4395"/>
  </r>
  <r>
    <x v="1491"/>
    <s v="Danaburgh"/>
    <n v="60613"/>
    <n v="697"/>
    <n v="17856"/>
    <n v="10"/>
    <n v="65"/>
    <x v="1"/>
    <n v="1"/>
    <x v="1"/>
    <n v="0.4395"/>
  </r>
  <r>
    <x v="1492"/>
    <s v="North Steve"/>
    <n v="142199"/>
    <n v="532"/>
    <n v="27360"/>
    <n v="8"/>
    <n v="50"/>
    <x v="0"/>
    <n v="0"/>
    <x v="2"/>
    <n v="0.4395"/>
  </r>
  <r>
    <x v="1493"/>
    <s v="Stephensonmouth"/>
    <n v="131652"/>
    <n v="763"/>
    <n v="30090"/>
    <n v="24"/>
    <n v="90"/>
    <x v="1"/>
    <n v="1"/>
    <x v="3"/>
    <n v="0.4395"/>
  </r>
  <r>
    <x v="1494"/>
    <s v="Lake Alyssa"/>
    <n v="83841"/>
    <n v="551"/>
    <n v="15218"/>
    <n v="12"/>
    <n v="50"/>
    <x v="0"/>
    <n v="0"/>
    <x v="2"/>
    <n v="0.4395"/>
  </r>
  <r>
    <x v="1495"/>
    <s v="Rachelside"/>
    <n v="35720"/>
    <n v="718"/>
    <n v="25563"/>
    <n v="19"/>
    <n v="50"/>
    <x v="0"/>
    <n v="0"/>
    <x v="1"/>
    <n v="0.4395"/>
  </r>
  <r>
    <x v="1496"/>
    <s v="Evanschester"/>
    <n v="71704"/>
    <n v="352"/>
    <n v="14068"/>
    <n v="13"/>
    <n v="45"/>
    <x v="0"/>
    <n v="0"/>
    <x v="0"/>
    <n v="0.4395"/>
  </r>
  <r>
    <x v="1497"/>
    <s v="Whitemouth"/>
    <n v="127609"/>
    <n v="324"/>
    <n v="46479"/>
    <n v="13"/>
    <n v="50"/>
    <x v="0"/>
    <n v="0"/>
    <x v="0"/>
    <n v="0.4395"/>
  </r>
  <r>
    <x v="1498"/>
    <s v="Lake Richard"/>
    <n v="91993"/>
    <n v="502"/>
    <n v="10875"/>
    <n v="26"/>
    <n v="50"/>
    <x v="0"/>
    <n v="0"/>
    <x v="2"/>
    <n v="0.4395"/>
  </r>
  <r>
    <x v="1499"/>
    <s v="Stewarthaven"/>
    <n v="122435"/>
    <n v="336"/>
    <n v="45314"/>
    <n v="6"/>
    <n v="45"/>
    <x v="0"/>
    <n v="0"/>
    <x v="0"/>
    <n v="0.4395"/>
  </r>
  <r>
    <x v="1500"/>
    <s v="West Melissamouth"/>
    <n v="149725"/>
    <n v="665"/>
    <n v="14304"/>
    <n v="9"/>
    <n v="70"/>
    <x v="1"/>
    <n v="1"/>
    <x v="1"/>
    <n v="0.4395"/>
  </r>
  <r>
    <x v="1501"/>
    <s v="Brandymouth"/>
    <n v="136352"/>
    <n v="786"/>
    <n v="23191"/>
    <n v="11"/>
    <n v="90"/>
    <x v="1"/>
    <n v="1"/>
    <x v="3"/>
    <n v="0.4395"/>
  </r>
  <r>
    <x v="1502"/>
    <s v="East Robert"/>
    <n v="79968"/>
    <n v="845"/>
    <n v="41520"/>
    <n v="26"/>
    <n v="80"/>
    <x v="1"/>
    <n v="1"/>
    <x v="3"/>
    <n v="0.4395"/>
  </r>
  <r>
    <x v="1503"/>
    <s v="Hannahbury"/>
    <n v="80604"/>
    <n v="416"/>
    <n v="44507"/>
    <n v="9"/>
    <n v="35"/>
    <x v="0"/>
    <n v="0"/>
    <x v="0"/>
    <n v="0.4395"/>
  </r>
  <r>
    <x v="1504"/>
    <s v="Kennedyfort"/>
    <n v="116991"/>
    <n v="474"/>
    <n v="2307"/>
    <n v="37"/>
    <n v="60"/>
    <x v="1"/>
    <n v="1"/>
    <x v="2"/>
    <n v="0.4395"/>
  </r>
  <r>
    <x v="1505"/>
    <s v="South Patricia"/>
    <n v="133860"/>
    <n v="803"/>
    <n v="45024"/>
    <n v="36"/>
    <n v="90"/>
    <x v="1"/>
    <n v="1"/>
    <x v="3"/>
    <n v="0.4395"/>
  </r>
  <r>
    <x v="1506"/>
    <s v="Caseyberg"/>
    <n v="137577"/>
    <n v="607"/>
    <n v="45392"/>
    <n v="25"/>
    <n v="65"/>
    <x v="1"/>
    <n v="1"/>
    <x v="1"/>
    <n v="0.4395"/>
  </r>
  <r>
    <x v="1507"/>
    <s v="Lake Malik"/>
    <n v="115461"/>
    <n v="385"/>
    <n v="24246"/>
    <n v="38"/>
    <n v="55"/>
    <x v="0"/>
    <n v="0"/>
    <x v="0"/>
    <n v="0.4395"/>
  </r>
  <r>
    <x v="1508"/>
    <s v="West Melissa"/>
    <n v="49936"/>
    <n v="496"/>
    <n v="34647"/>
    <n v="17"/>
    <n v="25"/>
    <x v="0"/>
    <n v="0"/>
    <x v="2"/>
    <n v="0.4395"/>
  </r>
  <r>
    <x v="1509"/>
    <s v="North Debra"/>
    <n v="94923"/>
    <n v="613"/>
    <n v="18243"/>
    <n v="28"/>
    <n v="65"/>
    <x v="1"/>
    <n v="1"/>
    <x v="1"/>
    <n v="0.4395"/>
  </r>
  <r>
    <x v="1510"/>
    <s v="Hopkinsmouth"/>
    <n v="34852"/>
    <n v="332"/>
    <n v="9562"/>
    <n v="39"/>
    <n v="30"/>
    <x v="0"/>
    <n v="0"/>
    <x v="0"/>
    <n v="0.4395"/>
  </r>
  <r>
    <x v="1511"/>
    <s v="South Norman"/>
    <n v="46547"/>
    <n v="336"/>
    <n v="46566"/>
    <n v="17"/>
    <n v="25"/>
    <x v="0"/>
    <n v="0"/>
    <x v="0"/>
    <n v="0.4395"/>
  </r>
  <r>
    <x v="1512"/>
    <s v="Russellmouth"/>
    <n v="95836"/>
    <n v="435"/>
    <n v="23691"/>
    <n v="16"/>
    <n v="50"/>
    <x v="0"/>
    <n v="0"/>
    <x v="0"/>
    <n v="0.4395"/>
  </r>
  <r>
    <x v="1513"/>
    <s v="Sellersland"/>
    <n v="107356"/>
    <n v="626"/>
    <n v="34344"/>
    <n v="7"/>
    <n v="60"/>
    <x v="1"/>
    <n v="1"/>
    <x v="1"/>
    <n v="0.4395"/>
  </r>
  <r>
    <x v="1514"/>
    <s v="North Gregory"/>
    <n v="73515"/>
    <n v="366"/>
    <n v="11092"/>
    <n v="36"/>
    <n v="45"/>
    <x v="0"/>
    <n v="0"/>
    <x v="0"/>
    <n v="0.4395"/>
  </r>
  <r>
    <x v="1515"/>
    <s v="Lake Alexandermouth"/>
    <n v="143993"/>
    <n v="372"/>
    <n v="11239"/>
    <n v="37"/>
    <n v="60"/>
    <x v="1"/>
    <n v="1"/>
    <x v="0"/>
    <n v="0.4395"/>
  </r>
  <r>
    <x v="1516"/>
    <s v="Kristiville"/>
    <n v="43154"/>
    <n v="424"/>
    <n v="4680"/>
    <n v="8"/>
    <n v="30"/>
    <x v="0"/>
    <n v="0"/>
    <x v="0"/>
    <n v="0.4395"/>
  </r>
  <r>
    <x v="1517"/>
    <s v="Lake Stephanietown"/>
    <n v="144581"/>
    <n v="743"/>
    <n v="45931"/>
    <n v="14"/>
    <n v="85"/>
    <x v="1"/>
    <n v="1"/>
    <x v="1"/>
    <n v="0.4395"/>
  </r>
  <r>
    <x v="1518"/>
    <s v="South Lisa"/>
    <n v="140761"/>
    <n v="807"/>
    <n v="40679"/>
    <n v="11"/>
    <n v="90"/>
    <x v="1"/>
    <n v="1"/>
    <x v="3"/>
    <n v="0.4395"/>
  </r>
  <r>
    <x v="1519"/>
    <s v="South Jacksontown"/>
    <n v="87711"/>
    <n v="381"/>
    <n v="12524"/>
    <n v="12"/>
    <n v="50"/>
    <x v="0"/>
    <n v="0"/>
    <x v="0"/>
    <n v="0.4395"/>
  </r>
  <r>
    <x v="1520"/>
    <s v="Lake David"/>
    <n v="43069"/>
    <n v="377"/>
    <n v="13333"/>
    <n v="11"/>
    <n v="30"/>
    <x v="0"/>
    <n v="0"/>
    <x v="0"/>
    <n v="0.4395"/>
  </r>
  <r>
    <x v="1521"/>
    <s v="Reidshire"/>
    <n v="98937"/>
    <n v="603"/>
    <n v="40423"/>
    <n v="26"/>
    <n v="55"/>
    <x v="0"/>
    <n v="0"/>
    <x v="1"/>
    <n v="0.4395"/>
  </r>
  <r>
    <x v="1522"/>
    <s v="Jillhaven"/>
    <n v="149333"/>
    <n v="307"/>
    <n v="43915"/>
    <n v="16"/>
    <n v="50"/>
    <x v="0"/>
    <n v="0"/>
    <x v="0"/>
    <n v="0.4395"/>
  </r>
  <r>
    <x v="1523"/>
    <s v="Cooperton"/>
    <n v="89890"/>
    <n v="740"/>
    <n v="6239"/>
    <n v="28"/>
    <n v="90"/>
    <x v="1"/>
    <n v="1"/>
    <x v="1"/>
    <n v="0.4395"/>
  </r>
  <r>
    <x v="1524"/>
    <s v="Helenland"/>
    <n v="32011"/>
    <n v="568"/>
    <n v="48654"/>
    <n v="20"/>
    <n v="25"/>
    <x v="0"/>
    <n v="0"/>
    <x v="2"/>
    <n v="0.4395"/>
  </r>
  <r>
    <x v="1525"/>
    <s v="Evansfort"/>
    <n v="124692"/>
    <n v="620"/>
    <n v="36777"/>
    <n v="12"/>
    <n v="65"/>
    <x v="1"/>
    <n v="1"/>
    <x v="1"/>
    <n v="0.4395"/>
  </r>
  <r>
    <x v="1526"/>
    <s v="Marshallmouth"/>
    <n v="48894"/>
    <n v="632"/>
    <n v="27426"/>
    <n v="29"/>
    <n v="40"/>
    <x v="0"/>
    <n v="0"/>
    <x v="1"/>
    <n v="0.4395"/>
  </r>
  <r>
    <x v="1527"/>
    <s v="Barnestown"/>
    <n v="83736"/>
    <n v="442"/>
    <n v="21756"/>
    <n v="24"/>
    <n v="45"/>
    <x v="0"/>
    <n v="0"/>
    <x v="0"/>
    <n v="0.4395"/>
  </r>
  <r>
    <x v="1528"/>
    <s v="East Brittany"/>
    <n v="144154"/>
    <n v="488"/>
    <n v="15220"/>
    <n v="6"/>
    <n v="50"/>
    <x v="0"/>
    <n v="0"/>
    <x v="2"/>
    <n v="0.4395"/>
  </r>
  <r>
    <x v="1529"/>
    <s v="North Tyler"/>
    <n v="115823"/>
    <n v="462"/>
    <n v="20891"/>
    <n v="35"/>
    <n v="55"/>
    <x v="0"/>
    <n v="0"/>
    <x v="2"/>
    <n v="0.4395"/>
  </r>
  <r>
    <x v="1530"/>
    <s v="Reynoldsburgh"/>
    <n v="50232"/>
    <n v="799"/>
    <n v="44633"/>
    <n v="3"/>
    <n v="60"/>
    <x v="1"/>
    <n v="1"/>
    <x v="3"/>
    <n v="0.4395"/>
  </r>
  <r>
    <x v="1531"/>
    <s v="Franklinberg"/>
    <n v="39807"/>
    <n v="540"/>
    <n v="34997"/>
    <n v="31"/>
    <n v="25"/>
    <x v="0"/>
    <n v="0"/>
    <x v="2"/>
    <n v="0.4395"/>
  </r>
  <r>
    <x v="1532"/>
    <s v="Carrberg"/>
    <n v="91537"/>
    <n v="842"/>
    <n v="19474"/>
    <n v="21"/>
    <n v="90"/>
    <x v="1"/>
    <n v="1"/>
    <x v="3"/>
    <n v="0.4395"/>
  </r>
  <r>
    <x v="1533"/>
    <s v="Annettefort"/>
    <n v="132436"/>
    <n v="364"/>
    <n v="2160"/>
    <n v="28"/>
    <n v="60"/>
    <x v="1"/>
    <n v="1"/>
    <x v="0"/>
    <n v="0.4395"/>
  </r>
  <r>
    <x v="1534"/>
    <s v="Port Rachel"/>
    <n v="64737"/>
    <n v="787"/>
    <n v="19384"/>
    <n v="35"/>
    <n v="75"/>
    <x v="1"/>
    <n v="1"/>
    <x v="3"/>
    <n v="0.4395"/>
  </r>
  <r>
    <x v="1535"/>
    <s v="West Kimberly"/>
    <n v="74375"/>
    <n v="534"/>
    <n v="47406"/>
    <n v="37"/>
    <n v="35"/>
    <x v="0"/>
    <n v="0"/>
    <x v="2"/>
    <n v="0.4395"/>
  </r>
  <r>
    <x v="1536"/>
    <s v="Zamoramouth"/>
    <n v="111691"/>
    <n v="823"/>
    <n v="7264"/>
    <n v="24"/>
    <n v="100"/>
    <x v="1"/>
    <n v="1"/>
    <x v="3"/>
    <n v="0.4395"/>
  </r>
  <r>
    <x v="1537"/>
    <s v="Fordview"/>
    <n v="120794"/>
    <n v="368"/>
    <n v="30457"/>
    <n v="24"/>
    <n v="50"/>
    <x v="0"/>
    <n v="0"/>
    <x v="0"/>
    <n v="0.4395"/>
  </r>
  <r>
    <x v="1538"/>
    <s v="West Melanie"/>
    <n v="82098"/>
    <n v="360"/>
    <n v="32047"/>
    <n v="15"/>
    <n v="45"/>
    <x v="0"/>
    <n v="0"/>
    <x v="0"/>
    <n v="0.4395"/>
  </r>
  <r>
    <x v="1539"/>
    <s v="Hoffmanview"/>
    <n v="115175"/>
    <n v="627"/>
    <n v="32765"/>
    <n v="20"/>
    <n v="65"/>
    <x v="1"/>
    <n v="1"/>
    <x v="1"/>
    <n v="0.4395"/>
  </r>
  <r>
    <x v="1540"/>
    <s v="New Cassie"/>
    <n v="40527"/>
    <n v="602"/>
    <n v="49065"/>
    <n v="3"/>
    <n v="30"/>
    <x v="0"/>
    <n v="0"/>
    <x v="1"/>
    <n v="0.4395"/>
  </r>
  <r>
    <x v="1541"/>
    <s v="Johnfurt"/>
    <n v="141642"/>
    <n v="733"/>
    <n v="46917"/>
    <n v="0"/>
    <n v="60"/>
    <x v="1"/>
    <n v="1"/>
    <x v="1"/>
    <n v="0.4395"/>
  </r>
  <r>
    <x v="1542"/>
    <s v="Lake Dawnchester"/>
    <n v="73065"/>
    <n v="380"/>
    <n v="25158"/>
    <n v="29"/>
    <n v="40"/>
    <x v="0"/>
    <n v="0"/>
    <x v="0"/>
    <n v="0.4395"/>
  </r>
  <r>
    <x v="1543"/>
    <s v="Petersmouth"/>
    <n v="141718"/>
    <n v="621"/>
    <n v="8061"/>
    <n v="17"/>
    <n v="75"/>
    <x v="1"/>
    <n v="1"/>
    <x v="1"/>
    <n v="0.4395"/>
  </r>
  <r>
    <x v="1544"/>
    <s v="Frankberg"/>
    <n v="118389"/>
    <n v="630"/>
    <n v="2111"/>
    <n v="7"/>
    <n v="70"/>
    <x v="1"/>
    <n v="1"/>
    <x v="1"/>
    <n v="0.4395"/>
  </r>
  <r>
    <x v="1545"/>
    <s v="West Marie"/>
    <n v="142635"/>
    <n v="684"/>
    <n v="37053"/>
    <n v="1"/>
    <n v="60"/>
    <x v="1"/>
    <n v="1"/>
    <x v="1"/>
    <n v="0.4395"/>
  </r>
  <r>
    <x v="1546"/>
    <s v="Christieton"/>
    <n v="99942"/>
    <n v="589"/>
    <n v="22234"/>
    <n v="36"/>
    <n v="65"/>
    <x v="1"/>
    <n v="1"/>
    <x v="2"/>
    <n v="0.4395"/>
  </r>
  <r>
    <x v="1547"/>
    <s v="East Edwardhaven"/>
    <n v="79808"/>
    <n v="467"/>
    <n v="47783"/>
    <n v="15"/>
    <n v="40"/>
    <x v="0"/>
    <n v="0"/>
    <x v="2"/>
    <n v="0.4395"/>
  </r>
  <r>
    <x v="1548"/>
    <s v="South Matthewland"/>
    <n v="71505"/>
    <n v="804"/>
    <n v="27251"/>
    <n v="34"/>
    <n v="80"/>
    <x v="1"/>
    <n v="1"/>
    <x v="3"/>
    <n v="0.4395"/>
  </r>
  <r>
    <x v="1549"/>
    <s v="New Mackenzie"/>
    <n v="112155"/>
    <n v="512"/>
    <n v="30392"/>
    <n v="10"/>
    <n v="50"/>
    <x v="0"/>
    <n v="0"/>
    <x v="2"/>
    <n v="0.4395"/>
  </r>
  <r>
    <x v="1550"/>
    <s v="North Deanna"/>
    <n v="124203"/>
    <n v="324"/>
    <n v="4439"/>
    <n v="14"/>
    <n v="60"/>
    <x v="1"/>
    <n v="1"/>
    <x v="0"/>
    <n v="0.4395"/>
  </r>
  <r>
    <x v="1551"/>
    <s v="Port Devin"/>
    <n v="146318"/>
    <n v="627"/>
    <n v="22164"/>
    <n v="24"/>
    <n v="70"/>
    <x v="1"/>
    <n v="1"/>
    <x v="1"/>
    <n v="0.4395"/>
  </r>
  <r>
    <x v="1552"/>
    <s v="Travischester"/>
    <n v="129536"/>
    <n v="369"/>
    <n v="3629"/>
    <n v="12"/>
    <n v="60"/>
    <x v="1"/>
    <n v="1"/>
    <x v="0"/>
    <n v="0.4395"/>
  </r>
  <r>
    <x v="1553"/>
    <s v="West Jacquelineshire"/>
    <n v="93956"/>
    <n v="676"/>
    <n v="34367"/>
    <n v="10"/>
    <n v="70"/>
    <x v="1"/>
    <n v="1"/>
    <x v="1"/>
    <n v="0.4395"/>
  </r>
  <r>
    <x v="1554"/>
    <s v="Josephstad"/>
    <n v="144344"/>
    <n v="823"/>
    <n v="26455"/>
    <n v="10"/>
    <n v="95"/>
    <x v="1"/>
    <n v="1"/>
    <x v="3"/>
    <n v="0.4395"/>
  </r>
  <r>
    <x v="1555"/>
    <s v="West Rachael"/>
    <n v="100912"/>
    <n v="702"/>
    <n v="8809"/>
    <n v="18"/>
    <n v="85"/>
    <x v="1"/>
    <n v="1"/>
    <x v="1"/>
    <n v="0.4395"/>
  </r>
  <r>
    <x v="1556"/>
    <s v="Harrisville"/>
    <n v="34705"/>
    <n v="342"/>
    <n v="26392"/>
    <n v="6"/>
    <n v="20"/>
    <x v="0"/>
    <n v="0"/>
    <x v="0"/>
    <n v="0.4395"/>
  </r>
  <r>
    <x v="1557"/>
    <s v="Marissaborough"/>
    <n v="110931"/>
    <n v="610"/>
    <n v="24654"/>
    <n v="29"/>
    <n v="70"/>
    <x v="1"/>
    <n v="1"/>
    <x v="1"/>
    <n v="0.4395"/>
  </r>
  <r>
    <x v="1558"/>
    <s v="Jaytown"/>
    <n v="38968"/>
    <n v="617"/>
    <n v="1810"/>
    <n v="13"/>
    <n v="55"/>
    <x v="0"/>
    <n v="0"/>
    <x v="1"/>
    <n v="0.4395"/>
  </r>
  <r>
    <x v="1559"/>
    <s v="Cortezmouth"/>
    <n v="60771"/>
    <n v="700"/>
    <n v="40440"/>
    <n v="10"/>
    <n v="60"/>
    <x v="1"/>
    <n v="1"/>
    <x v="1"/>
    <n v="0.4395"/>
  </r>
  <r>
    <x v="1560"/>
    <s v="North Christina"/>
    <n v="112727"/>
    <n v="300"/>
    <n v="3044"/>
    <n v="39"/>
    <n v="60"/>
    <x v="1"/>
    <n v="1"/>
    <x v="0"/>
    <n v="0.4395"/>
  </r>
  <r>
    <x v="1561"/>
    <s v="West Seanshire"/>
    <n v="119705"/>
    <n v="463"/>
    <n v="7372"/>
    <n v="3"/>
    <n v="50"/>
    <x v="0"/>
    <n v="0"/>
    <x v="2"/>
    <n v="0.4395"/>
  </r>
  <r>
    <x v="1562"/>
    <s v="Charleschester"/>
    <n v="67667"/>
    <n v="322"/>
    <n v="20494"/>
    <n v="2"/>
    <n v="30"/>
    <x v="0"/>
    <n v="0"/>
    <x v="0"/>
    <n v="0.4395"/>
  </r>
  <r>
    <x v="1563"/>
    <s v="North Samantha"/>
    <n v="59817"/>
    <n v="331"/>
    <n v="32228"/>
    <n v="11"/>
    <n v="35"/>
    <x v="0"/>
    <n v="0"/>
    <x v="0"/>
    <n v="0.4395"/>
  </r>
  <r>
    <x v="1564"/>
    <s v="Josephshire"/>
    <n v="127880"/>
    <n v="791"/>
    <n v="5147"/>
    <n v="9"/>
    <n v="90"/>
    <x v="1"/>
    <n v="1"/>
    <x v="3"/>
    <n v="0.4395"/>
  </r>
  <r>
    <x v="1565"/>
    <s v="South Ryanmouth"/>
    <n v="41846"/>
    <n v="722"/>
    <n v="12470"/>
    <n v="0"/>
    <n v="40"/>
    <x v="0"/>
    <n v="0"/>
    <x v="1"/>
    <n v="0.4395"/>
  </r>
  <r>
    <x v="1566"/>
    <s v="Harrisview"/>
    <n v="86881"/>
    <n v="324"/>
    <n v="44990"/>
    <n v="17"/>
    <n v="40"/>
    <x v="0"/>
    <n v="0"/>
    <x v="0"/>
    <n v="0.4395"/>
  </r>
  <r>
    <x v="1567"/>
    <s v="Lake Bradleyshire"/>
    <n v="42903"/>
    <n v="745"/>
    <n v="37630"/>
    <n v="31"/>
    <n v="60"/>
    <x v="1"/>
    <n v="1"/>
    <x v="1"/>
    <n v="0.4395"/>
  </r>
  <r>
    <x v="1568"/>
    <s v="Michaelstad"/>
    <n v="129663"/>
    <n v="767"/>
    <n v="31964"/>
    <n v="34"/>
    <n v="90"/>
    <x v="1"/>
    <n v="1"/>
    <x v="3"/>
    <n v="0.4395"/>
  </r>
  <r>
    <x v="1569"/>
    <s v="West Jill"/>
    <n v="113066"/>
    <n v="655"/>
    <n v="27673"/>
    <n v="11"/>
    <n v="70"/>
    <x v="1"/>
    <n v="1"/>
    <x v="1"/>
    <n v="0.4395"/>
  </r>
  <r>
    <x v="1570"/>
    <s v="Dylanfort"/>
    <n v="122260"/>
    <n v="717"/>
    <n v="24614"/>
    <n v="27"/>
    <n v="80"/>
    <x v="1"/>
    <n v="1"/>
    <x v="1"/>
    <n v="0.4395"/>
  </r>
  <r>
    <x v="1571"/>
    <s v="Debbiemouth"/>
    <n v="144370"/>
    <n v="468"/>
    <n v="3802"/>
    <n v="21"/>
    <n v="60"/>
    <x v="1"/>
    <n v="1"/>
    <x v="2"/>
    <n v="0.4395"/>
  </r>
  <r>
    <x v="1572"/>
    <s v="Amberburgh"/>
    <n v="43173"/>
    <n v="442"/>
    <n v="14488"/>
    <n v="25"/>
    <n v="30"/>
    <x v="0"/>
    <n v="0"/>
    <x v="0"/>
    <n v="0.4395"/>
  </r>
  <r>
    <x v="1573"/>
    <s v="New Daletown"/>
    <n v="88153"/>
    <n v="560"/>
    <n v="37074"/>
    <n v="10"/>
    <n v="40"/>
    <x v="0"/>
    <n v="0"/>
    <x v="2"/>
    <n v="0.4395"/>
  </r>
  <r>
    <x v="1574"/>
    <s v="Wilsonstad"/>
    <n v="51805"/>
    <n v="704"/>
    <n v="35283"/>
    <n v="25"/>
    <n v="60"/>
    <x v="1"/>
    <n v="1"/>
    <x v="1"/>
    <n v="0.4395"/>
  </r>
  <r>
    <x v="1575"/>
    <s v="East Daniellemouth"/>
    <n v="120964"/>
    <n v="459"/>
    <n v="46478"/>
    <n v="12"/>
    <n v="50"/>
    <x v="0"/>
    <n v="0"/>
    <x v="2"/>
    <n v="0.4395"/>
  </r>
  <r>
    <x v="1576"/>
    <s v="South Drewland"/>
    <n v="69251"/>
    <n v="613"/>
    <n v="16848"/>
    <n v="25"/>
    <n v="60"/>
    <x v="1"/>
    <n v="1"/>
    <x v="1"/>
    <n v="0.4395"/>
  </r>
  <r>
    <x v="1577"/>
    <s v="North Allen"/>
    <n v="148413"/>
    <n v="602"/>
    <n v="8934"/>
    <n v="13"/>
    <n v="75"/>
    <x v="1"/>
    <n v="1"/>
    <x v="1"/>
    <n v="0.4395"/>
  </r>
  <r>
    <x v="1578"/>
    <s v="Shaunville"/>
    <n v="33794"/>
    <n v="732"/>
    <n v="24430"/>
    <n v="25"/>
    <n v="50"/>
    <x v="0"/>
    <n v="0"/>
    <x v="1"/>
    <n v="0.4395"/>
  </r>
  <r>
    <x v="1579"/>
    <s v="Jaredchester"/>
    <n v="36028"/>
    <n v="789"/>
    <n v="42629"/>
    <n v="39"/>
    <n v="60"/>
    <x v="1"/>
    <n v="1"/>
    <x v="3"/>
    <n v="0.4395"/>
  </r>
  <r>
    <x v="1580"/>
    <s v="Florestown"/>
    <n v="72516"/>
    <n v="561"/>
    <n v="46916"/>
    <n v="30"/>
    <n v="35"/>
    <x v="0"/>
    <n v="0"/>
    <x v="2"/>
    <n v="0.4395"/>
  </r>
  <r>
    <x v="1581"/>
    <s v="South Haleystad"/>
    <n v="134352"/>
    <n v="802"/>
    <n v="2790"/>
    <n v="24"/>
    <n v="100"/>
    <x v="1"/>
    <n v="1"/>
    <x v="3"/>
    <n v="0.4395"/>
  </r>
  <r>
    <x v="1582"/>
    <s v="Kingland"/>
    <n v="37355"/>
    <n v="384"/>
    <n v="17081"/>
    <n v="40"/>
    <n v="25"/>
    <x v="0"/>
    <n v="0"/>
    <x v="0"/>
    <n v="0.4395"/>
  </r>
  <r>
    <x v="1583"/>
    <s v="New Tracey"/>
    <n v="68452"/>
    <n v="335"/>
    <n v="22159"/>
    <n v="19"/>
    <n v="40"/>
    <x v="0"/>
    <n v="0"/>
    <x v="0"/>
    <n v="0.4395"/>
  </r>
  <r>
    <x v="1584"/>
    <s v="Davisberg"/>
    <n v="76984"/>
    <n v="328"/>
    <n v="34180"/>
    <n v="28"/>
    <n v="40"/>
    <x v="0"/>
    <n v="0"/>
    <x v="0"/>
    <n v="0.4395"/>
  </r>
  <r>
    <x v="1585"/>
    <s v="Solisside"/>
    <n v="79131"/>
    <n v="349"/>
    <n v="17593"/>
    <n v="37"/>
    <n v="50"/>
    <x v="0"/>
    <n v="0"/>
    <x v="0"/>
    <n v="0.4395"/>
  </r>
  <r>
    <x v="1586"/>
    <s v="Carterburgh"/>
    <n v="86450"/>
    <n v="340"/>
    <n v="20024"/>
    <n v="38"/>
    <n v="50"/>
    <x v="0"/>
    <n v="0"/>
    <x v="0"/>
    <n v="0.4395"/>
  </r>
  <r>
    <x v="1587"/>
    <s v="East Timothybury"/>
    <n v="49080"/>
    <n v="305"/>
    <n v="26382"/>
    <n v="11"/>
    <n v="25"/>
    <x v="0"/>
    <n v="0"/>
    <x v="0"/>
    <n v="0.4395"/>
  </r>
  <r>
    <x v="1588"/>
    <s v="Michelleshire"/>
    <n v="62007"/>
    <n v="805"/>
    <n v="15990"/>
    <n v="28"/>
    <n v="80"/>
    <x v="1"/>
    <n v="1"/>
    <x v="3"/>
    <n v="0.4395"/>
  </r>
  <r>
    <x v="1589"/>
    <s v="South Tylerchester"/>
    <n v="99621"/>
    <n v="321"/>
    <n v="47426"/>
    <n v="33"/>
    <n v="40"/>
    <x v="0"/>
    <n v="0"/>
    <x v="0"/>
    <n v="0.4395"/>
  </r>
  <r>
    <x v="1590"/>
    <s v="Wellsview"/>
    <n v="84008"/>
    <n v="746"/>
    <n v="37522"/>
    <n v="27"/>
    <n v="75"/>
    <x v="1"/>
    <n v="1"/>
    <x v="1"/>
    <n v="0.4395"/>
  </r>
  <r>
    <x v="1591"/>
    <s v="Thomashaven"/>
    <n v="104177"/>
    <n v="549"/>
    <n v="10012"/>
    <n v="7"/>
    <n v="55"/>
    <x v="0"/>
    <n v="0"/>
    <x v="2"/>
    <n v="0.4395"/>
  </r>
  <r>
    <x v="1592"/>
    <s v="South Donna"/>
    <n v="119364"/>
    <n v="682"/>
    <n v="37527"/>
    <n v="16"/>
    <n v="75"/>
    <x v="1"/>
    <n v="1"/>
    <x v="1"/>
    <n v="0.4395"/>
  </r>
  <r>
    <x v="1593"/>
    <s v="Wilsonton"/>
    <n v="133877"/>
    <n v="537"/>
    <n v="14267"/>
    <n v="9"/>
    <n v="50"/>
    <x v="0"/>
    <n v="0"/>
    <x v="2"/>
    <n v="0.4395"/>
  </r>
  <r>
    <x v="1594"/>
    <s v="Briantown"/>
    <n v="53600"/>
    <n v="415"/>
    <n v="35377"/>
    <n v="17"/>
    <n v="35"/>
    <x v="0"/>
    <n v="0"/>
    <x v="0"/>
    <n v="0.4395"/>
  </r>
  <r>
    <x v="1595"/>
    <s v="West Samantha"/>
    <n v="52280"/>
    <n v="791"/>
    <n v="14995"/>
    <n v="12"/>
    <n v="75"/>
    <x v="1"/>
    <n v="1"/>
    <x v="3"/>
    <n v="0.4395"/>
  </r>
  <r>
    <x v="1596"/>
    <s v="South Angela"/>
    <n v="52946"/>
    <n v="372"/>
    <n v="10575"/>
    <n v="8"/>
    <n v="40"/>
    <x v="0"/>
    <n v="0"/>
    <x v="0"/>
    <n v="0.4395"/>
  </r>
  <r>
    <x v="1597"/>
    <s v="Palmerland"/>
    <n v="40350"/>
    <n v="468"/>
    <n v="17191"/>
    <n v="40"/>
    <n v="25"/>
    <x v="0"/>
    <n v="0"/>
    <x v="2"/>
    <n v="0.4395"/>
  </r>
  <r>
    <x v="1598"/>
    <s v="Port Jose"/>
    <n v="109887"/>
    <n v="361"/>
    <n v="29303"/>
    <n v="2"/>
    <n v="40"/>
    <x v="0"/>
    <n v="0"/>
    <x v="0"/>
    <n v="0.4395"/>
  </r>
  <r>
    <x v="1599"/>
    <s v="Peterbury"/>
    <n v="144142"/>
    <n v="430"/>
    <n v="32415"/>
    <n v="39"/>
    <n v="55"/>
    <x v="0"/>
    <n v="0"/>
    <x v="0"/>
    <n v="0.4395"/>
  </r>
  <r>
    <x v="1600"/>
    <s v="East Carol"/>
    <n v="80140"/>
    <n v="594"/>
    <n v="33580"/>
    <n v="4"/>
    <n v="45"/>
    <x v="0"/>
    <n v="0"/>
    <x v="2"/>
    <n v="0.4395"/>
  </r>
  <r>
    <x v="1601"/>
    <s v="Lake Patriciaberg"/>
    <n v="111226"/>
    <n v="340"/>
    <n v="25216"/>
    <n v="17"/>
    <n v="55"/>
    <x v="0"/>
    <n v="0"/>
    <x v="0"/>
    <n v="0.4395"/>
  </r>
  <r>
    <x v="1602"/>
    <s v="Kevinside"/>
    <n v="119539"/>
    <n v="634"/>
    <n v="21194"/>
    <n v="30"/>
    <n v="70"/>
    <x v="1"/>
    <n v="1"/>
    <x v="1"/>
    <n v="0.4395"/>
  </r>
  <r>
    <x v="1603"/>
    <s v="South Matthew"/>
    <n v="61566"/>
    <n v="801"/>
    <n v="23440"/>
    <n v="34"/>
    <n v="80"/>
    <x v="1"/>
    <n v="1"/>
    <x v="3"/>
    <n v="0.4395"/>
  </r>
  <r>
    <x v="1604"/>
    <s v="Sarahport"/>
    <n v="95230"/>
    <n v="825"/>
    <n v="15931"/>
    <n v="20"/>
    <n v="90"/>
    <x v="1"/>
    <n v="1"/>
    <x v="3"/>
    <n v="0.4395"/>
  </r>
  <r>
    <x v="1605"/>
    <s v="West Teresa"/>
    <n v="149646"/>
    <n v="496"/>
    <n v="22954"/>
    <n v="33"/>
    <n v="55"/>
    <x v="0"/>
    <n v="0"/>
    <x v="2"/>
    <n v="0.4395"/>
  </r>
  <r>
    <x v="1606"/>
    <s v="Port Chloe"/>
    <n v="106435"/>
    <n v="442"/>
    <n v="46110"/>
    <n v="18"/>
    <n v="45"/>
    <x v="0"/>
    <n v="0"/>
    <x v="0"/>
    <n v="0.4395"/>
  </r>
  <r>
    <x v="1607"/>
    <s v="Jamesmouth"/>
    <n v="48758"/>
    <n v="832"/>
    <n v="12364"/>
    <n v="7"/>
    <n v="65"/>
    <x v="1"/>
    <n v="1"/>
    <x v="3"/>
    <n v="0.4395"/>
  </r>
  <r>
    <x v="1608"/>
    <s v="New Kristy"/>
    <n v="60433"/>
    <n v="645"/>
    <n v="12998"/>
    <n v="31"/>
    <n v="60"/>
    <x v="1"/>
    <n v="1"/>
    <x v="1"/>
    <n v="0.4395"/>
  </r>
  <r>
    <x v="1609"/>
    <s v="Catherineview"/>
    <n v="90443"/>
    <n v="427"/>
    <n v="25678"/>
    <n v="35"/>
    <n v="45"/>
    <x v="0"/>
    <n v="0"/>
    <x v="0"/>
    <n v="0.4395"/>
  </r>
  <r>
    <x v="1610"/>
    <s v="Gibsonside"/>
    <n v="113611"/>
    <n v="583"/>
    <n v="34496"/>
    <n v="36"/>
    <n v="65"/>
    <x v="1"/>
    <n v="1"/>
    <x v="2"/>
    <n v="0.4395"/>
  </r>
  <r>
    <x v="1611"/>
    <s v="Larsonfort"/>
    <n v="63289"/>
    <n v="747"/>
    <n v="26354"/>
    <n v="20"/>
    <n v="70"/>
    <x v="1"/>
    <n v="1"/>
    <x v="1"/>
    <n v="0.4395"/>
  </r>
  <r>
    <x v="1612"/>
    <s v="North Melanieview"/>
    <n v="90236"/>
    <n v="410"/>
    <n v="36945"/>
    <n v="34"/>
    <n v="40"/>
    <x v="0"/>
    <n v="0"/>
    <x v="0"/>
    <n v="0.4395"/>
  </r>
  <r>
    <x v="1613"/>
    <s v="Harrisshire"/>
    <n v="63466"/>
    <n v="361"/>
    <n v="1645"/>
    <n v="7"/>
    <n v="45"/>
    <x v="0"/>
    <n v="0"/>
    <x v="0"/>
    <n v="0.4395"/>
  </r>
  <r>
    <x v="1614"/>
    <s v="Allenbury"/>
    <n v="117404"/>
    <n v="573"/>
    <n v="37216"/>
    <n v="22"/>
    <n v="50"/>
    <x v="0"/>
    <n v="0"/>
    <x v="2"/>
    <n v="0.4395"/>
  </r>
  <r>
    <x v="1615"/>
    <s v="Kathrynburgh"/>
    <n v="31231"/>
    <n v="692"/>
    <n v="14313"/>
    <n v="34"/>
    <n v="50"/>
    <x v="0"/>
    <n v="0"/>
    <x v="1"/>
    <n v="0.4395"/>
  </r>
  <r>
    <x v="1616"/>
    <s v="Lisaville"/>
    <n v="147821"/>
    <n v="397"/>
    <n v="17134"/>
    <n v="26"/>
    <n v="55"/>
    <x v="0"/>
    <n v="0"/>
    <x v="0"/>
    <n v="0.4395"/>
  </r>
  <r>
    <x v="1617"/>
    <s v="East Joshua"/>
    <n v="135464"/>
    <n v="303"/>
    <n v="16648"/>
    <n v="19"/>
    <n v="55"/>
    <x v="0"/>
    <n v="0"/>
    <x v="0"/>
    <n v="0.4395"/>
  </r>
  <r>
    <x v="1618"/>
    <s v="Lewisville"/>
    <n v="90981"/>
    <n v="383"/>
    <n v="27773"/>
    <n v="28"/>
    <n v="45"/>
    <x v="0"/>
    <n v="0"/>
    <x v="0"/>
    <n v="0.4395"/>
  </r>
  <r>
    <x v="1619"/>
    <s v="Johnsonview"/>
    <n v="148123"/>
    <n v="510"/>
    <n v="45126"/>
    <n v="31"/>
    <n v="50"/>
    <x v="0"/>
    <n v="0"/>
    <x v="2"/>
    <n v="0.4395"/>
  </r>
  <r>
    <x v="1620"/>
    <s v="South Williamfurt"/>
    <n v="67700"/>
    <n v="752"/>
    <n v="40751"/>
    <n v="13"/>
    <n v="70"/>
    <x v="1"/>
    <n v="1"/>
    <x v="3"/>
    <n v="0.4395"/>
  </r>
  <r>
    <x v="1621"/>
    <s v="Jacksonfurt"/>
    <n v="118815"/>
    <n v="512"/>
    <n v="15282"/>
    <n v="20"/>
    <n v="55"/>
    <x v="0"/>
    <n v="0"/>
    <x v="2"/>
    <n v="0.4395"/>
  </r>
  <r>
    <x v="1622"/>
    <s v="South Caroline"/>
    <n v="101643"/>
    <n v="780"/>
    <n v="2590"/>
    <n v="36"/>
    <n v="95"/>
    <x v="1"/>
    <n v="1"/>
    <x v="3"/>
    <n v="0.4395"/>
  </r>
  <r>
    <x v="1623"/>
    <s v="South Ashleystad"/>
    <n v="50706"/>
    <n v="690"/>
    <n v="2343"/>
    <n v="31"/>
    <n v="75"/>
    <x v="1"/>
    <n v="1"/>
    <x v="1"/>
    <n v="0.4395"/>
  </r>
  <r>
    <x v="1624"/>
    <s v="Scottbury"/>
    <n v="39681"/>
    <n v="575"/>
    <n v="25025"/>
    <n v="16"/>
    <n v="25"/>
    <x v="0"/>
    <n v="0"/>
    <x v="2"/>
    <n v="0.4395"/>
  </r>
  <r>
    <x v="1625"/>
    <s v="Port Barry"/>
    <n v="87898"/>
    <n v="690"/>
    <n v="24892"/>
    <n v="3"/>
    <n v="60"/>
    <x v="1"/>
    <n v="1"/>
    <x v="1"/>
    <n v="0.4395"/>
  </r>
  <r>
    <x v="1626"/>
    <s v="New Heatherton"/>
    <n v="75293"/>
    <n v="556"/>
    <n v="6194"/>
    <n v="33"/>
    <n v="55"/>
    <x v="0"/>
    <n v="0"/>
    <x v="2"/>
    <n v="0.4395"/>
  </r>
  <r>
    <x v="1627"/>
    <s v="Ramirezburgh"/>
    <n v="107014"/>
    <n v="534"/>
    <n v="27834"/>
    <n v="19"/>
    <n v="50"/>
    <x v="0"/>
    <n v="0"/>
    <x v="2"/>
    <n v="0.4395"/>
  </r>
  <r>
    <x v="1628"/>
    <s v="New Diamondburgh"/>
    <n v="69210"/>
    <n v="595"/>
    <n v="36909"/>
    <n v="30"/>
    <n v="50"/>
    <x v="0"/>
    <n v="0"/>
    <x v="2"/>
    <n v="0.4395"/>
  </r>
  <r>
    <x v="1629"/>
    <s v="New Jennifer"/>
    <n v="113746"/>
    <n v="368"/>
    <n v="7652"/>
    <n v="17"/>
    <n v="60"/>
    <x v="1"/>
    <n v="1"/>
    <x v="0"/>
    <n v="0.4395"/>
  </r>
  <r>
    <x v="1630"/>
    <s v="New Sarah"/>
    <n v="85615"/>
    <n v="551"/>
    <n v="1573"/>
    <n v="20"/>
    <n v="55"/>
    <x v="0"/>
    <n v="0"/>
    <x v="2"/>
    <n v="0.4395"/>
  </r>
  <r>
    <x v="1631"/>
    <s v="New Williamton"/>
    <n v="120480"/>
    <n v="703"/>
    <n v="9844"/>
    <n v="10"/>
    <n v="85"/>
    <x v="1"/>
    <n v="1"/>
    <x v="1"/>
    <n v="0.4395"/>
  </r>
  <r>
    <x v="1632"/>
    <s v="Audreyview"/>
    <n v="62780"/>
    <n v="773"/>
    <n v="17108"/>
    <n v="29"/>
    <n v="75"/>
    <x v="1"/>
    <n v="1"/>
    <x v="3"/>
    <n v="0.4395"/>
  </r>
  <r>
    <x v="1633"/>
    <s v="North Tonyaberg"/>
    <n v="89878"/>
    <n v="300"/>
    <n v="19822"/>
    <n v="29"/>
    <n v="50"/>
    <x v="0"/>
    <n v="0"/>
    <x v="0"/>
    <n v="0.4395"/>
  </r>
  <r>
    <x v="1634"/>
    <s v="Onealmouth"/>
    <n v="140795"/>
    <n v="832"/>
    <n v="24195"/>
    <n v="38"/>
    <n v="95"/>
    <x v="1"/>
    <n v="1"/>
    <x v="3"/>
    <n v="0.4395"/>
  </r>
  <r>
    <x v="1635"/>
    <s v="Alexandrachester"/>
    <n v="69599"/>
    <n v="470"/>
    <n v="33974"/>
    <n v="31"/>
    <n v="35"/>
    <x v="0"/>
    <n v="0"/>
    <x v="2"/>
    <n v="0.4395"/>
  </r>
  <r>
    <x v="1636"/>
    <s v="Meaganville"/>
    <n v="56111"/>
    <n v="722"/>
    <n v="26072"/>
    <n v="24"/>
    <n v="60"/>
    <x v="1"/>
    <n v="1"/>
    <x v="1"/>
    <n v="0.4395"/>
  </r>
  <r>
    <x v="1637"/>
    <s v="East Ryanberg"/>
    <n v="80422"/>
    <n v="760"/>
    <n v="39694"/>
    <n v="8"/>
    <n v="70"/>
    <x v="1"/>
    <n v="1"/>
    <x v="3"/>
    <n v="0.4395"/>
  </r>
  <r>
    <x v="1638"/>
    <s v="East Rebeccaview"/>
    <n v="141848"/>
    <n v="798"/>
    <n v="27164"/>
    <n v="29"/>
    <n v="90"/>
    <x v="1"/>
    <n v="1"/>
    <x v="3"/>
    <n v="0.4395"/>
  </r>
  <r>
    <x v="1639"/>
    <s v="South Susan"/>
    <n v="93335"/>
    <n v="551"/>
    <n v="10537"/>
    <n v="40"/>
    <n v="50"/>
    <x v="0"/>
    <n v="0"/>
    <x v="2"/>
    <n v="0.4395"/>
  </r>
  <r>
    <x v="1640"/>
    <s v="Blankenshipchester"/>
    <n v="43979"/>
    <n v="379"/>
    <n v="40206"/>
    <n v="18"/>
    <n v="25"/>
    <x v="0"/>
    <n v="0"/>
    <x v="0"/>
    <n v="0.4395"/>
  </r>
  <r>
    <x v="1641"/>
    <s v="Jonesmouth"/>
    <n v="61091"/>
    <n v="498"/>
    <n v="21338"/>
    <n v="32"/>
    <n v="40"/>
    <x v="0"/>
    <n v="0"/>
    <x v="2"/>
    <n v="0.4395"/>
  </r>
  <r>
    <x v="1642"/>
    <s v="Brianhaven"/>
    <n v="79986"/>
    <n v="523"/>
    <n v="42331"/>
    <n v="33"/>
    <n v="40"/>
    <x v="0"/>
    <n v="0"/>
    <x v="2"/>
    <n v="0.4395"/>
  </r>
  <r>
    <x v="1643"/>
    <s v="Reedmouth"/>
    <n v="104963"/>
    <n v="591"/>
    <n v="25115"/>
    <n v="3"/>
    <n v="60"/>
    <x v="1"/>
    <n v="1"/>
    <x v="2"/>
    <n v="0.4395"/>
  </r>
  <r>
    <x v="1644"/>
    <s v="Hamiltonhaven"/>
    <n v="77049"/>
    <n v="337"/>
    <n v="44667"/>
    <n v="35"/>
    <n v="40"/>
    <x v="0"/>
    <n v="0"/>
    <x v="0"/>
    <n v="0.4395"/>
  </r>
  <r>
    <x v="1645"/>
    <s v="Port Nicholas"/>
    <n v="105341"/>
    <n v="750"/>
    <n v="48936"/>
    <n v="40"/>
    <n v="80"/>
    <x v="1"/>
    <n v="1"/>
    <x v="1"/>
    <n v="0.4395"/>
  </r>
  <r>
    <x v="1646"/>
    <s v="New Patrickfurt"/>
    <n v="68780"/>
    <n v="525"/>
    <n v="3745"/>
    <n v="2"/>
    <n v="40"/>
    <x v="0"/>
    <n v="0"/>
    <x v="2"/>
    <n v="0.4395"/>
  </r>
  <r>
    <x v="1647"/>
    <s v="South Lauren"/>
    <n v="121655"/>
    <n v="455"/>
    <n v="28978"/>
    <n v="35"/>
    <n v="55"/>
    <x v="0"/>
    <n v="0"/>
    <x v="2"/>
    <n v="0.4395"/>
  </r>
  <r>
    <x v="1648"/>
    <s v="East Micheleview"/>
    <n v="68696"/>
    <n v="794"/>
    <n v="5331"/>
    <n v="14"/>
    <n v="85"/>
    <x v="1"/>
    <n v="1"/>
    <x v="3"/>
    <n v="0.4395"/>
  </r>
  <r>
    <x v="1649"/>
    <s v="Wilsonmouth"/>
    <n v="32875"/>
    <n v="650"/>
    <n v="41422"/>
    <n v="23"/>
    <n v="40"/>
    <x v="0"/>
    <n v="0"/>
    <x v="1"/>
    <n v="0.4395"/>
  </r>
  <r>
    <x v="1650"/>
    <s v="Crystalmouth"/>
    <n v="138794"/>
    <n v="839"/>
    <n v="11197"/>
    <n v="37"/>
    <n v="100"/>
    <x v="1"/>
    <n v="1"/>
    <x v="3"/>
    <n v="0.4395"/>
  </r>
  <r>
    <x v="1651"/>
    <s v="East Lisa"/>
    <n v="116275"/>
    <n v="744"/>
    <n v="32679"/>
    <n v="17"/>
    <n v="85"/>
    <x v="1"/>
    <n v="1"/>
    <x v="1"/>
    <n v="0.4395"/>
  </r>
  <r>
    <x v="1652"/>
    <s v="Williamsshire"/>
    <n v="81879"/>
    <n v="607"/>
    <n v="17884"/>
    <n v="6"/>
    <n v="60"/>
    <x v="1"/>
    <n v="1"/>
    <x v="1"/>
    <n v="0.4395"/>
  </r>
  <r>
    <x v="1653"/>
    <s v="East Steven"/>
    <n v="65976"/>
    <n v="456"/>
    <n v="7461"/>
    <n v="34"/>
    <n v="45"/>
    <x v="0"/>
    <n v="0"/>
    <x v="2"/>
    <n v="0.4395"/>
  </r>
  <r>
    <x v="1654"/>
    <s v="Kerrybury"/>
    <n v="31061"/>
    <n v="466"/>
    <n v="41832"/>
    <n v="30"/>
    <n v="25"/>
    <x v="0"/>
    <n v="0"/>
    <x v="2"/>
    <n v="0.4395"/>
  </r>
  <r>
    <x v="1655"/>
    <s v="South Richardchester"/>
    <n v="104177"/>
    <n v="457"/>
    <n v="28146"/>
    <n v="30"/>
    <n v="50"/>
    <x v="0"/>
    <n v="0"/>
    <x v="2"/>
    <n v="0.4395"/>
  </r>
  <r>
    <x v="1656"/>
    <s v="Joefort"/>
    <n v="143386"/>
    <n v="705"/>
    <n v="39562"/>
    <n v="13"/>
    <n v="75"/>
    <x v="1"/>
    <n v="1"/>
    <x v="1"/>
    <n v="0.4395"/>
  </r>
  <r>
    <x v="1657"/>
    <s v="West Erik"/>
    <n v="119889"/>
    <n v="634"/>
    <n v="39892"/>
    <n v="24"/>
    <n v="65"/>
    <x v="1"/>
    <n v="1"/>
    <x v="1"/>
    <n v="0.4395"/>
  </r>
  <r>
    <x v="1658"/>
    <s v="East Amberfort"/>
    <n v="132014"/>
    <n v="394"/>
    <n v="46703"/>
    <n v="9"/>
    <n v="45"/>
    <x v="0"/>
    <n v="0"/>
    <x v="0"/>
    <n v="0.4395"/>
  </r>
  <r>
    <x v="1659"/>
    <s v="Erikastad"/>
    <n v="127605"/>
    <n v="389"/>
    <n v="3649"/>
    <n v="10"/>
    <n v="60"/>
    <x v="1"/>
    <n v="1"/>
    <x v="0"/>
    <n v="0.4395"/>
  </r>
  <r>
    <x v="1660"/>
    <s v="North Christinaborough"/>
    <n v="36428"/>
    <n v="474"/>
    <n v="26615"/>
    <n v="31"/>
    <n v="25"/>
    <x v="0"/>
    <n v="0"/>
    <x v="2"/>
    <n v="0.4395"/>
  </r>
  <r>
    <x v="1661"/>
    <s v="Port Cheyenneberg"/>
    <n v="149356"/>
    <n v="366"/>
    <n v="31299"/>
    <n v="38"/>
    <n v="55"/>
    <x v="0"/>
    <n v="0"/>
    <x v="0"/>
    <n v="0.4395"/>
  </r>
  <r>
    <x v="1662"/>
    <s v="South Catherineport"/>
    <n v="109482"/>
    <n v="332"/>
    <n v="26781"/>
    <n v="21"/>
    <n v="55"/>
    <x v="0"/>
    <n v="0"/>
    <x v="0"/>
    <n v="0.4395"/>
  </r>
  <r>
    <x v="1663"/>
    <s v="Stephanieport"/>
    <n v="127671"/>
    <n v="600"/>
    <n v="43827"/>
    <n v="25"/>
    <n v="65"/>
    <x v="1"/>
    <n v="1"/>
    <x v="2"/>
    <n v="0.4395"/>
  </r>
  <r>
    <x v="1664"/>
    <s v="Elizabethborough"/>
    <n v="95107"/>
    <n v="546"/>
    <n v="31230"/>
    <n v="9"/>
    <n v="40"/>
    <x v="0"/>
    <n v="0"/>
    <x v="2"/>
    <n v="0.4395"/>
  </r>
  <r>
    <x v="1665"/>
    <s v="East Jennifer"/>
    <n v="139161"/>
    <n v="589"/>
    <n v="22805"/>
    <n v="20"/>
    <n v="70"/>
    <x v="1"/>
    <n v="1"/>
    <x v="2"/>
    <n v="0.4395"/>
  </r>
  <r>
    <x v="1666"/>
    <s v="Lake Elizabethside"/>
    <n v="148509"/>
    <n v="609"/>
    <n v="47472"/>
    <n v="13"/>
    <n v="65"/>
    <x v="1"/>
    <n v="1"/>
    <x v="1"/>
    <n v="0.4395"/>
  </r>
  <r>
    <x v="1667"/>
    <s v="Leeland"/>
    <n v="148349"/>
    <n v="350"/>
    <n v="3056"/>
    <n v="16"/>
    <n v="60"/>
    <x v="1"/>
    <n v="1"/>
    <x v="0"/>
    <n v="0.4395"/>
  </r>
  <r>
    <x v="1668"/>
    <s v="Bowersmouth"/>
    <n v="67512"/>
    <n v="760"/>
    <n v="9709"/>
    <n v="20"/>
    <n v="80"/>
    <x v="1"/>
    <n v="1"/>
    <x v="3"/>
    <n v="0.4395"/>
  </r>
  <r>
    <x v="1669"/>
    <s v="North Misty"/>
    <n v="131677"/>
    <n v="468"/>
    <n v="17423"/>
    <n v="26"/>
    <n v="55"/>
    <x v="0"/>
    <n v="0"/>
    <x v="2"/>
    <n v="0.4395"/>
  </r>
  <r>
    <x v="1670"/>
    <s v="East Johnfort"/>
    <n v="134708"/>
    <n v="584"/>
    <n v="14255"/>
    <n v="11"/>
    <n v="70"/>
    <x v="1"/>
    <n v="1"/>
    <x v="2"/>
    <n v="0.4395"/>
  </r>
  <r>
    <x v="1671"/>
    <s v="Laurenstad"/>
    <n v="60162"/>
    <n v="645"/>
    <n v="1179"/>
    <n v="6"/>
    <n v="60"/>
    <x v="1"/>
    <n v="1"/>
    <x v="1"/>
    <n v="0.4395"/>
  </r>
  <r>
    <x v="1672"/>
    <s v="Erinhaven"/>
    <n v="109569"/>
    <n v="580"/>
    <n v="35791"/>
    <n v="25"/>
    <n v="65"/>
    <x v="1"/>
    <n v="1"/>
    <x v="2"/>
    <n v="0.4395"/>
  </r>
  <r>
    <x v="1673"/>
    <s v="South Kayla"/>
    <n v="135110"/>
    <n v="340"/>
    <n v="30815"/>
    <n v="37"/>
    <n v="55"/>
    <x v="0"/>
    <n v="0"/>
    <x v="0"/>
    <n v="0.4395"/>
  </r>
  <r>
    <x v="1674"/>
    <s v="West Marvinchester"/>
    <n v="76179"/>
    <n v="364"/>
    <n v="32097"/>
    <n v="26"/>
    <n v="40"/>
    <x v="0"/>
    <n v="0"/>
    <x v="0"/>
    <n v="0.4395"/>
  </r>
  <r>
    <x v="1675"/>
    <s v="West Mary"/>
    <n v="58705"/>
    <n v="528"/>
    <n v="30443"/>
    <n v="16"/>
    <n v="35"/>
    <x v="0"/>
    <n v="0"/>
    <x v="2"/>
    <n v="0.4395"/>
  </r>
  <r>
    <x v="1676"/>
    <s v="Lake Rebecca"/>
    <n v="113442"/>
    <n v="560"/>
    <n v="26874"/>
    <n v="16"/>
    <n v="55"/>
    <x v="0"/>
    <n v="0"/>
    <x v="2"/>
    <n v="0.4395"/>
  </r>
  <r>
    <x v="1677"/>
    <s v="Allentown"/>
    <n v="54920"/>
    <n v="740"/>
    <n v="4130"/>
    <n v="4"/>
    <n v="75"/>
    <x v="1"/>
    <n v="1"/>
    <x v="1"/>
    <n v="0.4395"/>
  </r>
  <r>
    <x v="1678"/>
    <s v="Smithport"/>
    <n v="111381"/>
    <n v="352"/>
    <n v="33547"/>
    <n v="37"/>
    <n v="50"/>
    <x v="0"/>
    <n v="0"/>
    <x v="0"/>
    <n v="0.4395"/>
  </r>
  <r>
    <x v="1679"/>
    <s v="Port Jimmyfurt"/>
    <n v="62850"/>
    <n v="636"/>
    <n v="12615"/>
    <n v="34"/>
    <n v="60"/>
    <x v="1"/>
    <n v="1"/>
    <x v="1"/>
    <n v="0.4395"/>
  </r>
  <r>
    <x v="1680"/>
    <s v="Deborahfort"/>
    <n v="118835"/>
    <n v="321"/>
    <n v="7518"/>
    <n v="8"/>
    <n v="55"/>
    <x v="0"/>
    <n v="0"/>
    <x v="0"/>
    <n v="0.4395"/>
  </r>
  <r>
    <x v="1681"/>
    <s v="Emilychester"/>
    <n v="129035"/>
    <n v="465"/>
    <n v="28947"/>
    <n v="13"/>
    <n v="55"/>
    <x v="0"/>
    <n v="0"/>
    <x v="2"/>
    <n v="0.4395"/>
  </r>
  <r>
    <x v="1682"/>
    <s v="Kyleside"/>
    <n v="124493"/>
    <n v="370"/>
    <n v="5995"/>
    <n v="9"/>
    <n v="55"/>
    <x v="0"/>
    <n v="0"/>
    <x v="0"/>
    <n v="0.4395"/>
  </r>
  <r>
    <x v="1683"/>
    <s v="North Kimberly"/>
    <n v="130593"/>
    <n v="576"/>
    <n v="12729"/>
    <n v="7"/>
    <n v="55"/>
    <x v="0"/>
    <n v="0"/>
    <x v="2"/>
    <n v="0.4395"/>
  </r>
  <r>
    <x v="1684"/>
    <s v="Dixonfort"/>
    <n v="116400"/>
    <n v="584"/>
    <n v="6457"/>
    <n v="22"/>
    <n v="75"/>
    <x v="1"/>
    <n v="1"/>
    <x v="2"/>
    <n v="0.4395"/>
  </r>
  <r>
    <x v="1685"/>
    <s v="New Sierra"/>
    <n v="119241"/>
    <n v="318"/>
    <n v="41654"/>
    <n v="5"/>
    <n v="45"/>
    <x v="0"/>
    <n v="0"/>
    <x v="0"/>
    <n v="0.4395"/>
  </r>
  <r>
    <x v="1686"/>
    <s v="South Vickie"/>
    <n v="139882"/>
    <n v="659"/>
    <n v="2952"/>
    <n v="21"/>
    <n v="75"/>
    <x v="1"/>
    <n v="1"/>
    <x v="1"/>
    <n v="0.4395"/>
  </r>
  <r>
    <x v="1687"/>
    <s v="Lewisborough"/>
    <n v="47927"/>
    <n v="795"/>
    <n v="39427"/>
    <n v="4"/>
    <n v="50"/>
    <x v="0"/>
    <n v="0"/>
    <x v="3"/>
    <n v="0.4395"/>
  </r>
  <r>
    <x v="1688"/>
    <s v="Grantmouth"/>
    <n v="112345"/>
    <n v="696"/>
    <n v="22116"/>
    <n v="23"/>
    <n v="80"/>
    <x v="1"/>
    <n v="1"/>
    <x v="1"/>
    <n v="0.4395"/>
  </r>
  <r>
    <x v="1689"/>
    <s v="New Michaelstad"/>
    <n v="42735"/>
    <n v="646"/>
    <n v="28232"/>
    <n v="0"/>
    <n v="25"/>
    <x v="0"/>
    <n v="0"/>
    <x v="1"/>
    <n v="0.4395"/>
  </r>
  <r>
    <x v="1690"/>
    <s v="New Abigailville"/>
    <n v="148410"/>
    <n v="439"/>
    <n v="32026"/>
    <n v="31"/>
    <n v="55"/>
    <x v="0"/>
    <n v="0"/>
    <x v="0"/>
    <n v="0.4395"/>
  </r>
  <r>
    <x v="1691"/>
    <s v="New Lisamouth"/>
    <n v="112242"/>
    <n v="551"/>
    <n v="21451"/>
    <n v="34"/>
    <n v="55"/>
    <x v="0"/>
    <n v="0"/>
    <x v="2"/>
    <n v="0.4395"/>
  </r>
  <r>
    <x v="1692"/>
    <s v="West Elizabethberg"/>
    <n v="114717"/>
    <n v="564"/>
    <n v="25876"/>
    <n v="9"/>
    <n v="50"/>
    <x v="0"/>
    <n v="0"/>
    <x v="2"/>
    <n v="0.4395"/>
  </r>
  <r>
    <x v="1693"/>
    <s v="Charlesport"/>
    <n v="35167"/>
    <n v="607"/>
    <n v="27664"/>
    <n v="1"/>
    <n v="25"/>
    <x v="0"/>
    <n v="0"/>
    <x v="1"/>
    <n v="0.4395"/>
  </r>
  <r>
    <x v="1694"/>
    <s v="Port Derrickhaven"/>
    <n v="70492"/>
    <n v="402"/>
    <n v="24758"/>
    <n v="7"/>
    <n v="35"/>
    <x v="0"/>
    <n v="0"/>
    <x v="0"/>
    <n v="0.4395"/>
  </r>
  <r>
    <x v="1695"/>
    <s v="East Barbarashire"/>
    <n v="133364"/>
    <n v="380"/>
    <n v="16172"/>
    <n v="3"/>
    <n v="45"/>
    <x v="0"/>
    <n v="0"/>
    <x v="0"/>
    <n v="0.4395"/>
  </r>
  <r>
    <x v="1696"/>
    <s v="Port Jennifershire"/>
    <n v="87779"/>
    <n v="604"/>
    <n v="37199"/>
    <n v="19"/>
    <n v="55"/>
    <x v="0"/>
    <n v="0"/>
    <x v="1"/>
    <n v="0.4395"/>
  </r>
  <r>
    <x v="1697"/>
    <s v="Samanthachester"/>
    <n v="34373"/>
    <n v="395"/>
    <n v="44115"/>
    <n v="21"/>
    <n v="25"/>
    <x v="0"/>
    <n v="0"/>
    <x v="0"/>
    <n v="0.4395"/>
  </r>
  <r>
    <x v="1698"/>
    <s v="Williamsstad"/>
    <n v="105965"/>
    <n v="715"/>
    <n v="36518"/>
    <n v="6"/>
    <n v="70"/>
    <x v="1"/>
    <n v="1"/>
    <x v="1"/>
    <n v="0.4395"/>
  </r>
  <r>
    <x v="1699"/>
    <s v="North Matthew"/>
    <n v="77823"/>
    <n v="489"/>
    <n v="43499"/>
    <n v="36"/>
    <n v="40"/>
    <x v="0"/>
    <n v="0"/>
    <x v="2"/>
    <n v="0.4395"/>
  </r>
  <r>
    <x v="1700"/>
    <s v="Robinsonberg"/>
    <n v="125991"/>
    <n v="473"/>
    <n v="49356"/>
    <n v="32"/>
    <n v="50"/>
    <x v="0"/>
    <n v="0"/>
    <x v="2"/>
    <n v="0.4395"/>
  </r>
  <r>
    <x v="1701"/>
    <s v="Barbaraborough"/>
    <n v="47224"/>
    <n v="804"/>
    <n v="36885"/>
    <n v="15"/>
    <n v="65"/>
    <x v="1"/>
    <n v="1"/>
    <x v="3"/>
    <n v="0.4395"/>
  </r>
  <r>
    <x v="1702"/>
    <s v="Port Allison"/>
    <n v="41813"/>
    <n v="652"/>
    <n v="9926"/>
    <n v="25"/>
    <n v="50"/>
    <x v="0"/>
    <n v="0"/>
    <x v="1"/>
    <n v="0.4395"/>
  </r>
  <r>
    <x v="1703"/>
    <s v="Johnville"/>
    <n v="149226"/>
    <n v="730"/>
    <n v="17711"/>
    <n v="38"/>
    <n v="80"/>
    <x v="1"/>
    <n v="1"/>
    <x v="1"/>
    <n v="0.4395"/>
  </r>
  <r>
    <x v="1704"/>
    <s v="New Jack"/>
    <n v="68680"/>
    <n v="422"/>
    <n v="44976"/>
    <n v="15"/>
    <n v="35"/>
    <x v="0"/>
    <n v="0"/>
    <x v="0"/>
    <n v="0.4395"/>
  </r>
  <r>
    <x v="1705"/>
    <s v="Lake Charlesfurt"/>
    <n v="72823"/>
    <n v="436"/>
    <n v="15295"/>
    <n v="17"/>
    <n v="45"/>
    <x v="0"/>
    <n v="0"/>
    <x v="0"/>
    <n v="0.4395"/>
  </r>
  <r>
    <x v="1706"/>
    <s v="Port Heatherchester"/>
    <n v="127973"/>
    <n v="409"/>
    <n v="23371"/>
    <n v="13"/>
    <n v="55"/>
    <x v="0"/>
    <n v="0"/>
    <x v="0"/>
    <n v="0.4395"/>
  </r>
  <r>
    <x v="1707"/>
    <s v="Port Miguelchester"/>
    <n v="84460"/>
    <n v="687"/>
    <n v="44222"/>
    <n v="33"/>
    <n v="65"/>
    <x v="1"/>
    <n v="1"/>
    <x v="1"/>
    <n v="0.4395"/>
  </r>
  <r>
    <x v="1708"/>
    <s v="East Paul"/>
    <n v="53021"/>
    <n v="492"/>
    <n v="44637"/>
    <n v="15"/>
    <n v="35"/>
    <x v="0"/>
    <n v="0"/>
    <x v="2"/>
    <n v="0.4395"/>
  </r>
  <r>
    <x v="1709"/>
    <s v="Fordton"/>
    <n v="56318"/>
    <n v="361"/>
    <n v="31064"/>
    <n v="33"/>
    <n v="35"/>
    <x v="0"/>
    <n v="0"/>
    <x v="0"/>
    <n v="0.4395"/>
  </r>
  <r>
    <x v="1710"/>
    <s v="West Joshua"/>
    <n v="47322"/>
    <n v="736"/>
    <n v="1902"/>
    <n v="30"/>
    <n v="65"/>
    <x v="1"/>
    <n v="1"/>
    <x v="1"/>
    <n v="0.4395"/>
  </r>
  <r>
    <x v="1711"/>
    <s v="Kevinbury"/>
    <n v="133089"/>
    <n v="760"/>
    <n v="14167"/>
    <n v="17"/>
    <n v="90"/>
    <x v="1"/>
    <n v="1"/>
    <x v="3"/>
    <n v="0.4395"/>
  </r>
  <r>
    <x v="1712"/>
    <s v="Walkerberg"/>
    <n v="100701"/>
    <n v="317"/>
    <n v="16363"/>
    <n v="31"/>
    <n v="55"/>
    <x v="0"/>
    <n v="0"/>
    <x v="0"/>
    <n v="0.4395"/>
  </r>
  <r>
    <x v="1713"/>
    <s v="North Joseph"/>
    <n v="144879"/>
    <n v="679"/>
    <n v="35211"/>
    <n v="16"/>
    <n v="80"/>
    <x v="1"/>
    <n v="1"/>
    <x v="1"/>
    <n v="0.4395"/>
  </r>
  <r>
    <x v="1714"/>
    <s v="Julietown"/>
    <n v="77953"/>
    <n v="364"/>
    <n v="38169"/>
    <n v="6"/>
    <n v="35"/>
    <x v="0"/>
    <n v="0"/>
    <x v="0"/>
    <n v="0.4395"/>
  </r>
  <r>
    <x v="1715"/>
    <s v="Lake Tyler"/>
    <n v="99579"/>
    <n v="841"/>
    <n v="1220"/>
    <n v="9"/>
    <n v="90"/>
    <x v="1"/>
    <n v="1"/>
    <x v="3"/>
    <n v="0.4395"/>
  </r>
  <r>
    <x v="1716"/>
    <s v="Bradleytown"/>
    <n v="95771"/>
    <n v="792"/>
    <n v="13675"/>
    <n v="11"/>
    <n v="85"/>
    <x v="1"/>
    <n v="1"/>
    <x v="3"/>
    <n v="0.4395"/>
  </r>
  <r>
    <x v="1717"/>
    <s v="Heatherview"/>
    <n v="149732"/>
    <n v="504"/>
    <n v="42212"/>
    <n v="25"/>
    <n v="50"/>
    <x v="0"/>
    <n v="0"/>
    <x v="2"/>
    <n v="0.4395"/>
  </r>
  <r>
    <x v="1718"/>
    <s v="Codyfort"/>
    <n v="65720"/>
    <n v="500"/>
    <n v="17048"/>
    <n v="20"/>
    <n v="40"/>
    <x v="0"/>
    <n v="0"/>
    <x v="2"/>
    <n v="0.4395"/>
  </r>
  <r>
    <x v="1719"/>
    <s v="New Mathew"/>
    <n v="138851"/>
    <n v="533"/>
    <n v="29234"/>
    <n v="35"/>
    <n v="55"/>
    <x v="0"/>
    <n v="0"/>
    <x v="2"/>
    <n v="0.4395"/>
  </r>
  <r>
    <x v="1720"/>
    <s v="East Robert"/>
    <n v="51567"/>
    <n v="344"/>
    <n v="14432"/>
    <n v="29"/>
    <n v="40"/>
    <x v="0"/>
    <n v="0"/>
    <x v="0"/>
    <n v="0.4395"/>
  </r>
  <r>
    <x v="1721"/>
    <s v="Higginsbury"/>
    <n v="63681"/>
    <n v="519"/>
    <n v="15317"/>
    <n v="23"/>
    <n v="45"/>
    <x v="0"/>
    <n v="0"/>
    <x v="2"/>
    <n v="0.4395"/>
  </r>
  <r>
    <x v="1722"/>
    <s v="Martinezview"/>
    <n v="149806"/>
    <n v="760"/>
    <n v="14702"/>
    <n v="5"/>
    <n v="90"/>
    <x v="1"/>
    <n v="1"/>
    <x v="3"/>
    <n v="0.4395"/>
  </r>
  <r>
    <x v="1723"/>
    <s v="Kylieside"/>
    <n v="138093"/>
    <n v="546"/>
    <n v="3894"/>
    <n v="30"/>
    <n v="60"/>
    <x v="1"/>
    <n v="1"/>
    <x v="2"/>
    <n v="0.4395"/>
  </r>
  <r>
    <x v="1724"/>
    <s v="Port Tracyborough"/>
    <n v="93156"/>
    <n v="721"/>
    <n v="22675"/>
    <n v="6"/>
    <n v="70"/>
    <x v="1"/>
    <n v="1"/>
    <x v="1"/>
    <n v="0.4395"/>
  </r>
  <r>
    <x v="1725"/>
    <s v="Aaronstad"/>
    <n v="135708"/>
    <n v="665"/>
    <n v="30645"/>
    <n v="35"/>
    <n v="70"/>
    <x v="1"/>
    <n v="1"/>
    <x v="1"/>
    <n v="0.4395"/>
  </r>
  <r>
    <x v="1726"/>
    <s v="Lake Joshuaburgh"/>
    <n v="68684"/>
    <n v="460"/>
    <n v="16349"/>
    <n v="2"/>
    <n v="35"/>
    <x v="0"/>
    <n v="0"/>
    <x v="2"/>
    <n v="0.4395"/>
  </r>
  <r>
    <x v="1727"/>
    <s v="West Steven"/>
    <n v="127853"/>
    <n v="760"/>
    <n v="15786"/>
    <n v="39"/>
    <n v="90"/>
    <x v="1"/>
    <n v="1"/>
    <x v="3"/>
    <n v="0.4395"/>
  </r>
  <r>
    <x v="1728"/>
    <s v="West Courtney"/>
    <n v="144084"/>
    <n v="606"/>
    <n v="46007"/>
    <n v="27"/>
    <n v="65"/>
    <x v="1"/>
    <n v="1"/>
    <x v="1"/>
    <n v="0.4395"/>
  </r>
  <r>
    <x v="1729"/>
    <s v="Grayburgh"/>
    <n v="74396"/>
    <n v="683"/>
    <n v="3302"/>
    <n v="34"/>
    <n v="75"/>
    <x v="1"/>
    <n v="1"/>
    <x v="1"/>
    <n v="0.4395"/>
  </r>
  <r>
    <x v="1730"/>
    <s v="Port Ericland"/>
    <n v="135412"/>
    <n v="457"/>
    <n v="28200"/>
    <n v="6"/>
    <n v="50"/>
    <x v="0"/>
    <n v="0"/>
    <x v="2"/>
    <n v="0.4395"/>
  </r>
  <r>
    <x v="1731"/>
    <s v="Oliviaburgh"/>
    <n v="45095"/>
    <n v="845"/>
    <n v="44287"/>
    <n v="36"/>
    <n v="65"/>
    <x v="1"/>
    <n v="1"/>
    <x v="3"/>
    <n v="0.4395"/>
  </r>
  <r>
    <x v="1732"/>
    <s v="Ramirezview"/>
    <n v="91385"/>
    <n v="519"/>
    <n v="49065"/>
    <n v="1"/>
    <n v="25"/>
    <x v="0"/>
    <n v="0"/>
    <x v="2"/>
    <n v="0.4395"/>
  </r>
  <r>
    <x v="1733"/>
    <s v="Hoshire"/>
    <n v="39869"/>
    <n v="418"/>
    <n v="46515"/>
    <n v="8"/>
    <n v="20"/>
    <x v="0"/>
    <n v="0"/>
    <x v="0"/>
    <n v="0.4395"/>
  </r>
  <r>
    <x v="1734"/>
    <s v="New Timothyshire"/>
    <n v="48449"/>
    <n v="438"/>
    <n v="4462"/>
    <n v="33"/>
    <n v="40"/>
    <x v="0"/>
    <n v="0"/>
    <x v="0"/>
    <n v="0.4395"/>
  </r>
  <r>
    <x v="1735"/>
    <s v="North William"/>
    <n v="128848"/>
    <n v="375"/>
    <n v="16826"/>
    <n v="34"/>
    <n v="55"/>
    <x v="0"/>
    <n v="0"/>
    <x v="0"/>
    <n v="0.4395"/>
  </r>
  <r>
    <x v="1736"/>
    <s v="Joseside"/>
    <n v="59571"/>
    <n v="439"/>
    <n v="12685"/>
    <n v="2"/>
    <n v="35"/>
    <x v="0"/>
    <n v="0"/>
    <x v="0"/>
    <n v="0.4395"/>
  </r>
  <r>
    <x v="1737"/>
    <s v="Lake Daisy"/>
    <n v="142740"/>
    <n v="830"/>
    <n v="10687"/>
    <n v="39"/>
    <n v="100"/>
    <x v="1"/>
    <n v="1"/>
    <x v="3"/>
    <n v="0.4395"/>
  </r>
  <r>
    <x v="1738"/>
    <s v="Lake Kathleenmouth"/>
    <n v="118647"/>
    <n v="468"/>
    <n v="45652"/>
    <n v="17"/>
    <n v="50"/>
    <x v="0"/>
    <n v="0"/>
    <x v="2"/>
    <n v="0.4395"/>
  </r>
  <r>
    <x v="1739"/>
    <s v="Port Elizabethtown"/>
    <n v="124924"/>
    <n v="331"/>
    <n v="6481"/>
    <n v="20"/>
    <n v="60"/>
    <x v="1"/>
    <n v="1"/>
    <x v="0"/>
    <n v="0.4395"/>
  </r>
  <r>
    <x v="1740"/>
    <s v="North Haileyfort"/>
    <n v="118395"/>
    <n v="400"/>
    <n v="29768"/>
    <n v="34"/>
    <n v="50"/>
    <x v="0"/>
    <n v="0"/>
    <x v="0"/>
    <n v="0.4395"/>
  </r>
  <r>
    <x v="1741"/>
    <s v="Lake Edwardstad"/>
    <n v="82089"/>
    <n v="620"/>
    <n v="25841"/>
    <n v="7"/>
    <n v="55"/>
    <x v="0"/>
    <n v="0"/>
    <x v="1"/>
    <n v="0.4395"/>
  </r>
  <r>
    <x v="1742"/>
    <s v="Joseland"/>
    <n v="140853"/>
    <n v="451"/>
    <n v="40344"/>
    <n v="36"/>
    <n v="50"/>
    <x v="0"/>
    <n v="0"/>
    <x v="2"/>
    <n v="0.4395"/>
  </r>
  <r>
    <x v="1743"/>
    <s v="East Gregoryport"/>
    <n v="135458"/>
    <n v="813"/>
    <n v="41740"/>
    <n v="2"/>
    <n v="80"/>
    <x v="1"/>
    <n v="1"/>
    <x v="3"/>
    <n v="0.4395"/>
  </r>
  <r>
    <x v="1744"/>
    <s v="Johnsonton"/>
    <n v="103048"/>
    <n v="302"/>
    <n v="44387"/>
    <n v="16"/>
    <n v="45"/>
    <x v="0"/>
    <n v="0"/>
    <x v="0"/>
    <n v="0.4395"/>
  </r>
  <r>
    <x v="1745"/>
    <s v="West Jenniferview"/>
    <n v="77942"/>
    <n v="842"/>
    <n v="10827"/>
    <n v="25"/>
    <n v="90"/>
    <x v="1"/>
    <n v="1"/>
    <x v="3"/>
    <n v="0.4395"/>
  </r>
  <r>
    <x v="1746"/>
    <s v="Williammouth"/>
    <n v="41836"/>
    <n v="678"/>
    <n v="44340"/>
    <n v="3"/>
    <n v="40"/>
    <x v="0"/>
    <n v="0"/>
    <x v="1"/>
    <n v="0.4395"/>
  </r>
  <r>
    <x v="1747"/>
    <s v="Blairside"/>
    <n v="133636"/>
    <n v="340"/>
    <n v="41961"/>
    <n v="30"/>
    <n v="50"/>
    <x v="0"/>
    <n v="0"/>
    <x v="0"/>
    <n v="0.4395"/>
  </r>
  <r>
    <x v="1748"/>
    <s v="Montgomerytown"/>
    <n v="81717"/>
    <n v="838"/>
    <n v="13108"/>
    <n v="8"/>
    <n v="85"/>
    <x v="1"/>
    <n v="1"/>
    <x v="3"/>
    <n v="0.4395"/>
  </r>
  <r>
    <x v="1749"/>
    <s v="Port Peterhaven"/>
    <n v="31824"/>
    <n v="427"/>
    <n v="37424"/>
    <n v="33"/>
    <n v="25"/>
    <x v="0"/>
    <n v="0"/>
    <x v="0"/>
    <n v="0.4395"/>
  </r>
  <r>
    <x v="1750"/>
    <s v="New Stacy"/>
    <n v="64663"/>
    <n v="810"/>
    <n v="17319"/>
    <n v="33"/>
    <n v="80"/>
    <x v="1"/>
    <n v="1"/>
    <x v="3"/>
    <n v="0.4395"/>
  </r>
  <r>
    <x v="1751"/>
    <s v="South Josephberg"/>
    <n v="100329"/>
    <n v="367"/>
    <n v="10273"/>
    <n v="25"/>
    <n v="55"/>
    <x v="0"/>
    <n v="0"/>
    <x v="0"/>
    <n v="0.4395"/>
  </r>
  <r>
    <x v="1752"/>
    <s v="Rickeyburgh"/>
    <n v="46199"/>
    <n v="321"/>
    <n v="16906"/>
    <n v="26"/>
    <n v="30"/>
    <x v="0"/>
    <n v="0"/>
    <x v="0"/>
    <n v="0.4395"/>
  </r>
  <r>
    <x v="1753"/>
    <s v="Lewisport"/>
    <n v="89609"/>
    <n v="557"/>
    <n v="6384"/>
    <n v="29"/>
    <n v="55"/>
    <x v="0"/>
    <n v="0"/>
    <x v="2"/>
    <n v="0.4395"/>
  </r>
  <r>
    <x v="1754"/>
    <s v="Moorestad"/>
    <n v="78311"/>
    <n v="597"/>
    <n v="3773"/>
    <n v="11"/>
    <n v="70"/>
    <x v="1"/>
    <n v="1"/>
    <x v="2"/>
    <n v="0.4395"/>
  </r>
  <r>
    <x v="1755"/>
    <s v="Amyburgh"/>
    <n v="118188"/>
    <n v="600"/>
    <n v="13561"/>
    <n v="1"/>
    <n v="55"/>
    <x v="0"/>
    <n v="0"/>
    <x v="2"/>
    <n v="0.4395"/>
  </r>
  <r>
    <x v="1756"/>
    <s v="Michellehaven"/>
    <n v="128174"/>
    <n v="843"/>
    <n v="34109"/>
    <n v="1"/>
    <n v="75"/>
    <x v="1"/>
    <n v="1"/>
    <x v="3"/>
    <n v="0.4395"/>
  </r>
  <r>
    <x v="1757"/>
    <s v="Port Toni"/>
    <n v="118125"/>
    <n v="639"/>
    <n v="48546"/>
    <n v="8"/>
    <n v="55"/>
    <x v="0"/>
    <n v="0"/>
    <x v="1"/>
    <n v="0.4395"/>
  </r>
  <r>
    <x v="1758"/>
    <s v="Benjaminton"/>
    <n v="64362"/>
    <n v="598"/>
    <n v="16651"/>
    <n v="13"/>
    <n v="55"/>
    <x v="0"/>
    <n v="0"/>
    <x v="2"/>
    <n v="0.4395"/>
  </r>
  <r>
    <x v="1759"/>
    <s v="Jameshaven"/>
    <n v="106619"/>
    <n v="563"/>
    <n v="39477"/>
    <n v="20"/>
    <n v="50"/>
    <x v="0"/>
    <n v="0"/>
    <x v="2"/>
    <n v="0.4395"/>
  </r>
  <r>
    <x v="1760"/>
    <s v="Port Curtis"/>
    <n v="79941"/>
    <n v="396"/>
    <n v="47616"/>
    <n v="38"/>
    <n v="40"/>
    <x v="0"/>
    <n v="0"/>
    <x v="0"/>
    <n v="0.4395"/>
  </r>
  <r>
    <x v="1761"/>
    <s v="New Brandonborough"/>
    <n v="137795"/>
    <n v="546"/>
    <n v="39883"/>
    <n v="5"/>
    <n v="45"/>
    <x v="0"/>
    <n v="0"/>
    <x v="2"/>
    <n v="0.4395"/>
  </r>
  <r>
    <x v="1762"/>
    <s v="Schneiderbury"/>
    <n v="113695"/>
    <n v="340"/>
    <n v="27650"/>
    <n v="2"/>
    <n v="45"/>
    <x v="0"/>
    <n v="0"/>
    <x v="0"/>
    <n v="0.4395"/>
  </r>
  <r>
    <x v="1763"/>
    <s v="Changmouth"/>
    <n v="78689"/>
    <n v="698"/>
    <n v="7246"/>
    <n v="29"/>
    <n v="80"/>
    <x v="1"/>
    <n v="1"/>
    <x v="1"/>
    <n v="0.4395"/>
  </r>
  <r>
    <x v="1764"/>
    <s v="North Rhondaborough"/>
    <n v="44201"/>
    <n v="327"/>
    <n v="2926"/>
    <n v="37"/>
    <n v="40"/>
    <x v="0"/>
    <n v="0"/>
    <x v="0"/>
    <n v="0.4395"/>
  </r>
  <r>
    <x v="1765"/>
    <s v="Port Carla"/>
    <n v="118452"/>
    <n v="313"/>
    <n v="17016"/>
    <n v="24"/>
    <n v="55"/>
    <x v="0"/>
    <n v="0"/>
    <x v="0"/>
    <n v="0.4395"/>
  </r>
  <r>
    <x v="1766"/>
    <s v="Mackenzieville"/>
    <n v="60647"/>
    <n v="725"/>
    <n v="1201"/>
    <n v="39"/>
    <n v="75"/>
    <x v="1"/>
    <n v="1"/>
    <x v="1"/>
    <n v="0.4395"/>
  </r>
  <r>
    <x v="1767"/>
    <s v="Denniston"/>
    <n v="91797"/>
    <n v="378"/>
    <n v="21396"/>
    <n v="38"/>
    <n v="50"/>
    <x v="0"/>
    <n v="0"/>
    <x v="0"/>
    <n v="0.4395"/>
  </r>
  <r>
    <x v="1768"/>
    <s v="Danielport"/>
    <n v="33280"/>
    <n v="531"/>
    <n v="16161"/>
    <n v="25"/>
    <n v="25"/>
    <x v="0"/>
    <n v="0"/>
    <x v="2"/>
    <n v="0.4395"/>
  </r>
  <r>
    <x v="1769"/>
    <s v="Port Wendy"/>
    <n v="111205"/>
    <n v="499"/>
    <n v="12180"/>
    <n v="10"/>
    <n v="55"/>
    <x v="0"/>
    <n v="0"/>
    <x v="2"/>
    <n v="0.4395"/>
  </r>
  <r>
    <x v="1770"/>
    <s v="Jonesview"/>
    <n v="145898"/>
    <n v="337"/>
    <n v="46574"/>
    <n v="18"/>
    <n v="50"/>
    <x v="0"/>
    <n v="0"/>
    <x v="0"/>
    <n v="0.4395"/>
  </r>
  <r>
    <x v="1771"/>
    <s v="Port Michaeltown"/>
    <n v="103584"/>
    <n v="645"/>
    <n v="16574"/>
    <n v="31"/>
    <n v="70"/>
    <x v="1"/>
    <n v="1"/>
    <x v="1"/>
    <n v="0.4395"/>
  </r>
  <r>
    <x v="1772"/>
    <s v="New Heatherville"/>
    <n v="72992"/>
    <n v="431"/>
    <n v="28952"/>
    <n v="1"/>
    <n v="25"/>
    <x v="0"/>
    <n v="0"/>
    <x v="0"/>
    <n v="0.4395"/>
  </r>
  <r>
    <x v="1773"/>
    <s v="New Nicolestad"/>
    <n v="149964"/>
    <n v="699"/>
    <n v="27072"/>
    <n v="38"/>
    <n v="80"/>
    <x v="1"/>
    <n v="1"/>
    <x v="1"/>
    <n v="0.4395"/>
  </r>
  <r>
    <x v="1774"/>
    <s v="Lake Stanley"/>
    <n v="109964"/>
    <n v="628"/>
    <n v="49834"/>
    <n v="13"/>
    <n v="60"/>
    <x v="1"/>
    <n v="1"/>
    <x v="1"/>
    <n v="0.4395"/>
  </r>
  <r>
    <x v="1775"/>
    <s v="Michaelchester"/>
    <n v="59015"/>
    <n v="821"/>
    <n v="37063"/>
    <n v="11"/>
    <n v="75"/>
    <x v="1"/>
    <n v="1"/>
    <x v="3"/>
    <n v="0.4395"/>
  </r>
  <r>
    <x v="1776"/>
    <s v="Colemanside"/>
    <n v="114889"/>
    <n v="446"/>
    <n v="41709"/>
    <n v="13"/>
    <n v="50"/>
    <x v="0"/>
    <n v="0"/>
    <x v="0"/>
    <n v="0.4395"/>
  </r>
  <r>
    <x v="1777"/>
    <s v="East Kevinside"/>
    <n v="38285"/>
    <n v="305"/>
    <n v="35590"/>
    <n v="28"/>
    <n v="25"/>
    <x v="0"/>
    <n v="0"/>
    <x v="0"/>
    <n v="0.4395"/>
  </r>
  <r>
    <x v="1778"/>
    <s v="South Brandon"/>
    <n v="113283"/>
    <n v="539"/>
    <n v="43279"/>
    <n v="23"/>
    <n v="50"/>
    <x v="0"/>
    <n v="0"/>
    <x v="2"/>
    <n v="0.4395"/>
  </r>
  <r>
    <x v="1779"/>
    <s v="Shannontown"/>
    <n v="137984"/>
    <n v="348"/>
    <n v="34252"/>
    <n v="23"/>
    <n v="55"/>
    <x v="0"/>
    <n v="0"/>
    <x v="0"/>
    <n v="0.4395"/>
  </r>
  <r>
    <x v="1780"/>
    <s v="North Jennifer"/>
    <n v="90852"/>
    <n v="763"/>
    <n v="17727"/>
    <n v="37"/>
    <n v="85"/>
    <x v="1"/>
    <n v="1"/>
    <x v="3"/>
    <n v="0.4395"/>
  </r>
  <r>
    <x v="1781"/>
    <s v="Wangshire"/>
    <n v="149195"/>
    <n v="684"/>
    <n v="44042"/>
    <n v="18"/>
    <n v="75"/>
    <x v="1"/>
    <n v="1"/>
    <x v="1"/>
    <n v="0.4395"/>
  </r>
  <r>
    <x v="1782"/>
    <s v="Davishaven"/>
    <n v="121891"/>
    <n v="602"/>
    <n v="10514"/>
    <n v="34"/>
    <n v="75"/>
    <x v="1"/>
    <n v="1"/>
    <x v="1"/>
    <n v="0.4395"/>
  </r>
  <r>
    <x v="1783"/>
    <s v="East Mark"/>
    <n v="69608"/>
    <n v="405"/>
    <n v="20294"/>
    <n v="1"/>
    <n v="25"/>
    <x v="0"/>
    <n v="0"/>
    <x v="0"/>
    <n v="0.4395"/>
  </r>
  <r>
    <x v="1784"/>
    <s v="East Pamela"/>
    <n v="115097"/>
    <n v="410"/>
    <n v="13121"/>
    <n v="14"/>
    <n v="55"/>
    <x v="0"/>
    <n v="0"/>
    <x v="0"/>
    <n v="0.4395"/>
  </r>
  <r>
    <x v="1785"/>
    <s v="Elliottton"/>
    <n v="83516"/>
    <n v="717"/>
    <n v="41777"/>
    <n v="1"/>
    <n v="50"/>
    <x v="0"/>
    <n v="0"/>
    <x v="1"/>
    <n v="0.4395"/>
  </r>
  <r>
    <x v="1786"/>
    <s v="Comptontown"/>
    <n v="45292"/>
    <n v="752"/>
    <n v="12397"/>
    <n v="13"/>
    <n v="65"/>
    <x v="1"/>
    <n v="1"/>
    <x v="3"/>
    <n v="0.4395"/>
  </r>
  <r>
    <x v="1787"/>
    <s v="West Elizabeth"/>
    <n v="48320"/>
    <n v="670"/>
    <n v="43610"/>
    <n v="15"/>
    <n v="50"/>
    <x v="0"/>
    <n v="0"/>
    <x v="1"/>
    <n v="0.4395"/>
  </r>
  <r>
    <x v="1788"/>
    <s v="Port Loriport"/>
    <n v="35943"/>
    <n v="303"/>
    <n v="23589"/>
    <n v="26"/>
    <n v="25"/>
    <x v="0"/>
    <n v="0"/>
    <x v="0"/>
    <n v="0.4395"/>
  </r>
  <r>
    <x v="1789"/>
    <s v="Petersonside"/>
    <n v="34877"/>
    <n v="450"/>
    <n v="27622"/>
    <n v="37"/>
    <n v="25"/>
    <x v="0"/>
    <n v="0"/>
    <x v="0"/>
    <n v="0.4395"/>
  </r>
  <r>
    <x v="1790"/>
    <s v="Claytonside"/>
    <n v="69893"/>
    <n v="691"/>
    <n v="38546"/>
    <n v="24"/>
    <n v="60"/>
    <x v="1"/>
    <n v="1"/>
    <x v="1"/>
    <n v="0.4395"/>
  </r>
  <r>
    <x v="1791"/>
    <s v="North Anna"/>
    <n v="94569"/>
    <n v="736"/>
    <n v="7439"/>
    <n v="9"/>
    <n v="75"/>
    <x v="1"/>
    <n v="1"/>
    <x v="1"/>
    <n v="0.4395"/>
  </r>
  <r>
    <x v="1792"/>
    <s v="Tinaville"/>
    <n v="45220"/>
    <n v="557"/>
    <n v="13585"/>
    <n v="17"/>
    <n v="30"/>
    <x v="0"/>
    <n v="0"/>
    <x v="2"/>
    <n v="0.4395"/>
  </r>
  <r>
    <x v="1793"/>
    <s v="Melissaview"/>
    <n v="42739"/>
    <n v="341"/>
    <n v="2930"/>
    <n v="10"/>
    <n v="40"/>
    <x v="0"/>
    <n v="0"/>
    <x v="0"/>
    <n v="0.4395"/>
  </r>
  <r>
    <x v="1794"/>
    <s v="Burkefurt"/>
    <n v="60775"/>
    <n v="364"/>
    <n v="4614"/>
    <n v="7"/>
    <n v="45"/>
    <x v="0"/>
    <n v="0"/>
    <x v="0"/>
    <n v="0.4395"/>
  </r>
  <r>
    <x v="1795"/>
    <s v="North Elizabethmouth"/>
    <n v="146294"/>
    <n v="326"/>
    <n v="4140"/>
    <n v="4"/>
    <n v="50"/>
    <x v="0"/>
    <n v="0"/>
    <x v="0"/>
    <n v="0.4395"/>
  </r>
  <r>
    <x v="1796"/>
    <s v="West Crystalland"/>
    <n v="100457"/>
    <n v="629"/>
    <n v="4560"/>
    <n v="29"/>
    <n v="75"/>
    <x v="1"/>
    <n v="1"/>
    <x v="1"/>
    <n v="0.4395"/>
  </r>
  <r>
    <x v="1797"/>
    <s v="Port Brandi"/>
    <n v="47781"/>
    <n v="753"/>
    <n v="43078"/>
    <n v="26"/>
    <n v="60"/>
    <x v="1"/>
    <n v="1"/>
    <x v="3"/>
    <n v="0.4395"/>
  </r>
  <r>
    <x v="1798"/>
    <s v="Josephfort"/>
    <n v="80940"/>
    <n v="751"/>
    <n v="30012"/>
    <n v="38"/>
    <n v="80"/>
    <x v="1"/>
    <n v="1"/>
    <x v="3"/>
    <n v="0.4395"/>
  </r>
  <r>
    <x v="1799"/>
    <s v="Mcclurefurt"/>
    <n v="89459"/>
    <n v="721"/>
    <n v="45000"/>
    <n v="8"/>
    <n v="60"/>
    <x v="1"/>
    <n v="1"/>
    <x v="1"/>
    <n v="0.4395"/>
  </r>
  <r>
    <x v="1800"/>
    <s v="Lake Moniquefort"/>
    <n v="78629"/>
    <n v="693"/>
    <n v="4125"/>
    <n v="10"/>
    <n v="80"/>
    <x v="1"/>
    <n v="1"/>
    <x v="1"/>
    <n v="0.4395"/>
  </r>
  <r>
    <x v="1801"/>
    <s v="Andrewhaven"/>
    <n v="117881"/>
    <n v="846"/>
    <n v="18222"/>
    <n v="4"/>
    <n v="85"/>
    <x v="1"/>
    <n v="1"/>
    <x v="3"/>
    <n v="0.4395"/>
  </r>
  <r>
    <x v="1802"/>
    <s v="East Stephaniemouth"/>
    <n v="127404"/>
    <n v="666"/>
    <n v="47852"/>
    <n v="10"/>
    <n v="65"/>
    <x v="1"/>
    <n v="1"/>
    <x v="1"/>
    <n v="0.4395"/>
  </r>
  <r>
    <x v="1803"/>
    <s v="Stephensland"/>
    <n v="121289"/>
    <n v="775"/>
    <n v="1697"/>
    <n v="13"/>
    <n v="95"/>
    <x v="1"/>
    <n v="1"/>
    <x v="3"/>
    <n v="0.4395"/>
  </r>
  <r>
    <x v="1804"/>
    <s v="North Carrietown"/>
    <n v="100804"/>
    <n v="688"/>
    <n v="8380"/>
    <n v="14"/>
    <n v="85"/>
    <x v="1"/>
    <n v="1"/>
    <x v="1"/>
    <n v="0.4395"/>
  </r>
  <r>
    <x v="1805"/>
    <s v="Davidfort"/>
    <n v="84935"/>
    <n v="653"/>
    <n v="25640"/>
    <n v="7"/>
    <n v="55"/>
    <x v="0"/>
    <n v="0"/>
    <x v="1"/>
    <n v="0.4395"/>
  </r>
  <r>
    <x v="1806"/>
    <s v="Kurtshire"/>
    <n v="106983"/>
    <n v="350"/>
    <n v="48578"/>
    <n v="10"/>
    <n v="45"/>
    <x v="0"/>
    <n v="0"/>
    <x v="0"/>
    <n v="0.4395"/>
  </r>
  <r>
    <x v="1807"/>
    <s v="Carterton"/>
    <n v="127290"/>
    <n v="396"/>
    <n v="29256"/>
    <n v="17"/>
    <n v="55"/>
    <x v="0"/>
    <n v="0"/>
    <x v="0"/>
    <n v="0.4395"/>
  </r>
  <r>
    <x v="1808"/>
    <s v="East Rebeccafort"/>
    <n v="125236"/>
    <n v="825"/>
    <n v="12161"/>
    <n v="11"/>
    <n v="100"/>
    <x v="1"/>
    <n v="1"/>
    <x v="3"/>
    <n v="0.4395"/>
  </r>
  <r>
    <x v="1809"/>
    <s v="Shannonshire"/>
    <n v="50253"/>
    <n v="849"/>
    <n v="12953"/>
    <n v="6"/>
    <n v="75"/>
    <x v="1"/>
    <n v="1"/>
    <x v="3"/>
    <n v="0.4395"/>
  </r>
  <r>
    <x v="1810"/>
    <s v="Jacksonside"/>
    <n v="146052"/>
    <n v="648"/>
    <n v="49139"/>
    <n v="31"/>
    <n v="65"/>
    <x v="1"/>
    <n v="1"/>
    <x v="1"/>
    <n v="0.4395"/>
  </r>
  <r>
    <x v="1811"/>
    <s v="Delacruzbury"/>
    <n v="84379"/>
    <n v="548"/>
    <n v="8535"/>
    <n v="32"/>
    <n v="50"/>
    <x v="0"/>
    <n v="0"/>
    <x v="2"/>
    <n v="0.4395"/>
  </r>
  <r>
    <x v="1812"/>
    <s v="West Jeremymouth"/>
    <n v="115841"/>
    <n v="323"/>
    <n v="33297"/>
    <n v="37"/>
    <n v="50"/>
    <x v="0"/>
    <n v="0"/>
    <x v="0"/>
    <n v="0.4395"/>
  </r>
  <r>
    <x v="1813"/>
    <s v="South Timothyton"/>
    <n v="42978"/>
    <n v="712"/>
    <n v="33536"/>
    <n v="15"/>
    <n v="50"/>
    <x v="0"/>
    <n v="0"/>
    <x v="1"/>
    <n v="0.4395"/>
  </r>
  <r>
    <x v="1814"/>
    <s v="West Kathyfurt"/>
    <n v="139273"/>
    <n v="447"/>
    <n v="6528"/>
    <n v="10"/>
    <n v="60"/>
    <x v="1"/>
    <n v="1"/>
    <x v="0"/>
    <n v="0.4395"/>
  </r>
  <r>
    <x v="1815"/>
    <s v="North Victoria"/>
    <n v="94139"/>
    <n v="674"/>
    <n v="1972"/>
    <n v="21"/>
    <n v="80"/>
    <x v="1"/>
    <n v="1"/>
    <x v="1"/>
    <n v="0.4395"/>
  </r>
  <r>
    <x v="1816"/>
    <s v="Richardberg"/>
    <n v="110694"/>
    <n v="374"/>
    <n v="35264"/>
    <n v="11"/>
    <n v="50"/>
    <x v="0"/>
    <n v="0"/>
    <x v="0"/>
    <n v="0.4395"/>
  </r>
  <r>
    <x v="1817"/>
    <s v="Novakton"/>
    <n v="83492"/>
    <n v="847"/>
    <n v="45686"/>
    <n v="17"/>
    <n v="80"/>
    <x v="1"/>
    <n v="1"/>
    <x v="3"/>
    <n v="0.4395"/>
  </r>
  <r>
    <x v="1818"/>
    <s v="East Davidton"/>
    <n v="66666"/>
    <n v="638"/>
    <n v="3222"/>
    <n v="38"/>
    <n v="65"/>
    <x v="1"/>
    <n v="1"/>
    <x v="1"/>
    <n v="0.4395"/>
  </r>
  <r>
    <x v="1819"/>
    <s v="Proctorview"/>
    <n v="34288"/>
    <n v="819"/>
    <n v="20127"/>
    <n v="8"/>
    <n v="60"/>
    <x v="1"/>
    <n v="1"/>
    <x v="3"/>
    <n v="0.4395"/>
  </r>
  <r>
    <x v="1820"/>
    <s v="Lake Christopherstad"/>
    <n v="120476"/>
    <n v="762"/>
    <n v="42029"/>
    <n v="34"/>
    <n v="85"/>
    <x v="1"/>
    <n v="1"/>
    <x v="3"/>
    <n v="0.4395"/>
  </r>
  <r>
    <x v="1821"/>
    <s v="Lake Dianaland"/>
    <n v="78566"/>
    <n v="665"/>
    <n v="12733"/>
    <n v="15"/>
    <n v="65"/>
    <x v="1"/>
    <n v="1"/>
    <x v="1"/>
    <n v="0.4395"/>
  </r>
  <r>
    <x v="1822"/>
    <s v="New Kayla"/>
    <n v="58477"/>
    <n v="491"/>
    <n v="2718"/>
    <n v="39"/>
    <n v="50"/>
    <x v="0"/>
    <n v="0"/>
    <x v="2"/>
    <n v="0.4395"/>
  </r>
  <r>
    <x v="1823"/>
    <s v="Lake Courtneymouth"/>
    <n v="88115"/>
    <n v="806"/>
    <n v="41005"/>
    <n v="34"/>
    <n v="80"/>
    <x v="1"/>
    <n v="1"/>
    <x v="3"/>
    <n v="0.4395"/>
  </r>
  <r>
    <x v="1824"/>
    <s v="Wagnerberg"/>
    <n v="88287"/>
    <n v="432"/>
    <n v="21979"/>
    <n v="33"/>
    <n v="50"/>
    <x v="0"/>
    <n v="0"/>
    <x v="0"/>
    <n v="0.4395"/>
  </r>
  <r>
    <x v="1825"/>
    <s v="Erintown"/>
    <n v="60947"/>
    <n v="708"/>
    <n v="43175"/>
    <n v="11"/>
    <n v="60"/>
    <x v="1"/>
    <n v="1"/>
    <x v="1"/>
    <n v="0.4395"/>
  </r>
  <r>
    <x v="1826"/>
    <s v="Nicolestad"/>
    <n v="142125"/>
    <n v="699"/>
    <n v="25965"/>
    <n v="39"/>
    <n v="80"/>
    <x v="1"/>
    <n v="1"/>
    <x v="1"/>
    <n v="0.4395"/>
  </r>
  <r>
    <x v="1827"/>
    <s v="East Joshuaside"/>
    <n v="77537"/>
    <n v="480"/>
    <n v="49920"/>
    <n v="21"/>
    <n v="40"/>
    <x v="0"/>
    <n v="0"/>
    <x v="2"/>
    <n v="0.4395"/>
  </r>
  <r>
    <x v="1828"/>
    <s v="Murrayfurt"/>
    <n v="43022"/>
    <n v="500"/>
    <n v="10198"/>
    <n v="22"/>
    <n v="35"/>
    <x v="0"/>
    <n v="0"/>
    <x v="2"/>
    <n v="0.4395"/>
  </r>
  <r>
    <x v="1829"/>
    <s v="Lake Stephanie"/>
    <n v="119873"/>
    <n v="845"/>
    <n v="49454"/>
    <n v="36"/>
    <n v="85"/>
    <x v="1"/>
    <n v="1"/>
    <x v="3"/>
    <n v="0.4395"/>
  </r>
  <r>
    <x v="1830"/>
    <s v="Port Shelia"/>
    <n v="78147"/>
    <n v="405"/>
    <n v="23294"/>
    <n v="25"/>
    <n v="45"/>
    <x v="0"/>
    <n v="0"/>
    <x v="0"/>
    <n v="0.4395"/>
  </r>
  <r>
    <x v="1831"/>
    <s v="Jacobmouth"/>
    <n v="101364"/>
    <n v="794"/>
    <n v="12658"/>
    <n v="21"/>
    <n v="90"/>
    <x v="1"/>
    <n v="1"/>
    <x v="3"/>
    <n v="0.4395"/>
  </r>
  <r>
    <x v="1832"/>
    <s v="Port Heather"/>
    <n v="148187"/>
    <n v="651"/>
    <n v="35717"/>
    <n v="38"/>
    <n v="70"/>
    <x v="1"/>
    <n v="1"/>
    <x v="1"/>
    <n v="0.4395"/>
  </r>
  <r>
    <x v="1833"/>
    <s v="New Jenniferstad"/>
    <n v="114518"/>
    <n v="674"/>
    <n v="2681"/>
    <n v="31"/>
    <n v="85"/>
    <x v="1"/>
    <n v="1"/>
    <x v="1"/>
    <n v="0.4395"/>
  </r>
  <r>
    <x v="1834"/>
    <s v="Alexismouth"/>
    <n v="77012"/>
    <n v="799"/>
    <n v="45571"/>
    <n v="18"/>
    <n v="75"/>
    <x v="1"/>
    <n v="1"/>
    <x v="3"/>
    <n v="0.4395"/>
  </r>
  <r>
    <x v="1835"/>
    <s v="Lake Patriciashire"/>
    <n v="37936"/>
    <n v="376"/>
    <n v="8418"/>
    <n v="30"/>
    <n v="35"/>
    <x v="0"/>
    <n v="0"/>
    <x v="0"/>
    <n v="0.4395"/>
  </r>
  <r>
    <x v="1836"/>
    <s v="Brandiview"/>
    <n v="82184"/>
    <n v="338"/>
    <n v="6636"/>
    <n v="23"/>
    <n v="55"/>
    <x v="0"/>
    <n v="0"/>
    <x v="0"/>
    <n v="0.4395"/>
  </r>
  <r>
    <x v="1837"/>
    <s v="East Jessicastad"/>
    <n v="66160"/>
    <n v="519"/>
    <n v="28491"/>
    <n v="30"/>
    <n v="35"/>
    <x v="0"/>
    <n v="0"/>
    <x v="2"/>
    <n v="0.4395"/>
  </r>
  <r>
    <x v="1838"/>
    <s v="New Josephberg"/>
    <n v="54878"/>
    <n v="411"/>
    <n v="19578"/>
    <n v="5"/>
    <n v="35"/>
    <x v="0"/>
    <n v="0"/>
    <x v="0"/>
    <n v="0.4395"/>
  </r>
  <r>
    <x v="1839"/>
    <s v="Lake Brittanyfort"/>
    <n v="46011"/>
    <n v="361"/>
    <n v="40653"/>
    <n v="8"/>
    <n v="20"/>
    <x v="0"/>
    <n v="0"/>
    <x v="0"/>
    <n v="0.4395"/>
  </r>
  <r>
    <x v="1840"/>
    <s v="Port Willie"/>
    <n v="141153"/>
    <n v="656"/>
    <n v="27358"/>
    <n v="10"/>
    <n v="70"/>
    <x v="1"/>
    <n v="1"/>
    <x v="1"/>
    <n v="0.4395"/>
  </r>
  <r>
    <x v="1841"/>
    <s v="Butlermouth"/>
    <n v="138028"/>
    <n v="818"/>
    <n v="28231"/>
    <n v="28"/>
    <n v="95"/>
    <x v="1"/>
    <n v="1"/>
    <x v="3"/>
    <n v="0.4395"/>
  </r>
  <r>
    <x v="1842"/>
    <s v="South Janice"/>
    <n v="89600"/>
    <n v="822"/>
    <n v="23104"/>
    <n v="17"/>
    <n v="85"/>
    <x v="1"/>
    <n v="1"/>
    <x v="3"/>
    <n v="0.4395"/>
  </r>
  <r>
    <x v="1843"/>
    <s v="Lauramouth"/>
    <n v="42015"/>
    <n v="594"/>
    <n v="12650"/>
    <n v="32"/>
    <n v="45"/>
    <x v="0"/>
    <n v="0"/>
    <x v="2"/>
    <n v="0.4395"/>
  </r>
  <r>
    <x v="1844"/>
    <s v="Port Heathermouth"/>
    <n v="116870"/>
    <n v="326"/>
    <n v="9921"/>
    <n v="0"/>
    <n v="45"/>
    <x v="0"/>
    <n v="0"/>
    <x v="0"/>
    <n v="0.4395"/>
  </r>
  <r>
    <x v="1845"/>
    <s v="Danielleshire"/>
    <n v="57801"/>
    <n v="537"/>
    <n v="5767"/>
    <n v="15"/>
    <n v="50"/>
    <x v="0"/>
    <n v="0"/>
    <x v="2"/>
    <n v="0.4395"/>
  </r>
  <r>
    <x v="1846"/>
    <s v="Port Markmouth"/>
    <n v="114109"/>
    <n v="370"/>
    <n v="14654"/>
    <n v="0"/>
    <n v="40"/>
    <x v="0"/>
    <n v="0"/>
    <x v="0"/>
    <n v="0.4395"/>
  </r>
  <r>
    <x v="1847"/>
    <s v="Petersburgh"/>
    <n v="113819"/>
    <n v="402"/>
    <n v="19606"/>
    <n v="19"/>
    <n v="55"/>
    <x v="0"/>
    <n v="0"/>
    <x v="0"/>
    <n v="0.4395"/>
  </r>
  <r>
    <x v="1848"/>
    <s v="Willisfort"/>
    <n v="108269"/>
    <n v="447"/>
    <n v="33740"/>
    <n v="14"/>
    <n v="50"/>
    <x v="0"/>
    <n v="0"/>
    <x v="0"/>
    <n v="0.4395"/>
  </r>
  <r>
    <x v="1849"/>
    <s v="Dawnberg"/>
    <n v="32799"/>
    <n v="306"/>
    <n v="9502"/>
    <n v="23"/>
    <n v="30"/>
    <x v="0"/>
    <n v="0"/>
    <x v="0"/>
    <n v="0.4395"/>
  </r>
  <r>
    <x v="1850"/>
    <s v="Keithland"/>
    <n v="36629"/>
    <n v="838"/>
    <n v="15315"/>
    <n v="11"/>
    <n v="65"/>
    <x v="1"/>
    <n v="1"/>
    <x v="3"/>
    <n v="0.4395"/>
  </r>
  <r>
    <x v="1851"/>
    <s v="East Mary"/>
    <n v="133126"/>
    <n v="429"/>
    <n v="14119"/>
    <n v="38"/>
    <n v="55"/>
    <x v="0"/>
    <n v="0"/>
    <x v="0"/>
    <n v="0.4395"/>
  </r>
  <r>
    <x v="1852"/>
    <s v="Claireton"/>
    <n v="73713"/>
    <n v="686"/>
    <n v="49384"/>
    <n v="0"/>
    <n v="45"/>
    <x v="0"/>
    <n v="0"/>
    <x v="1"/>
    <n v="0.4395"/>
  </r>
  <r>
    <x v="1853"/>
    <s v="Mooreside"/>
    <n v="61925"/>
    <n v="774"/>
    <n v="23610"/>
    <n v="1"/>
    <n v="60"/>
    <x v="1"/>
    <n v="1"/>
    <x v="3"/>
    <n v="0.4395"/>
  </r>
  <r>
    <x v="1854"/>
    <s v="Lake Stephenburgh"/>
    <n v="46505"/>
    <n v="658"/>
    <n v="32462"/>
    <n v="29"/>
    <n v="40"/>
    <x v="0"/>
    <n v="0"/>
    <x v="1"/>
    <n v="0.4395"/>
  </r>
  <r>
    <x v="1855"/>
    <s v="Timothyfurt"/>
    <n v="133150"/>
    <n v="458"/>
    <n v="38435"/>
    <n v="2"/>
    <n v="40"/>
    <x v="0"/>
    <n v="0"/>
    <x v="2"/>
    <n v="0.4395"/>
  </r>
  <r>
    <x v="1856"/>
    <s v="Reyesside"/>
    <n v="104000"/>
    <n v="546"/>
    <n v="48812"/>
    <n v="6"/>
    <n v="40"/>
    <x v="0"/>
    <n v="0"/>
    <x v="2"/>
    <n v="0.4395"/>
  </r>
  <r>
    <x v="1857"/>
    <s v="Hornefort"/>
    <n v="56896"/>
    <n v="479"/>
    <n v="5149"/>
    <n v="29"/>
    <n v="50"/>
    <x v="0"/>
    <n v="0"/>
    <x v="2"/>
    <n v="0.4395"/>
  </r>
  <r>
    <x v="1858"/>
    <s v="New Diana"/>
    <n v="38992"/>
    <n v="490"/>
    <n v="2918"/>
    <n v="20"/>
    <n v="40"/>
    <x v="0"/>
    <n v="0"/>
    <x v="2"/>
    <n v="0.4395"/>
  </r>
  <r>
    <x v="1859"/>
    <s v="Lake Robert"/>
    <n v="138765"/>
    <n v="475"/>
    <n v="7606"/>
    <n v="27"/>
    <n v="60"/>
    <x v="1"/>
    <n v="1"/>
    <x v="2"/>
    <n v="0.4395"/>
  </r>
  <r>
    <x v="1860"/>
    <s v="Joelside"/>
    <n v="130290"/>
    <n v="447"/>
    <n v="16496"/>
    <n v="10"/>
    <n v="55"/>
    <x v="0"/>
    <n v="0"/>
    <x v="0"/>
    <n v="0.4395"/>
  </r>
  <r>
    <x v="1861"/>
    <s v="West Angela"/>
    <n v="102641"/>
    <n v="615"/>
    <n v="18483"/>
    <n v="26"/>
    <n v="70"/>
    <x v="1"/>
    <n v="1"/>
    <x v="1"/>
    <n v="0.4395"/>
  </r>
  <r>
    <x v="1862"/>
    <s v="Robinsonfurt"/>
    <n v="57152"/>
    <n v="596"/>
    <n v="17196"/>
    <n v="1"/>
    <n v="40"/>
    <x v="0"/>
    <n v="0"/>
    <x v="2"/>
    <n v="0.4395"/>
  </r>
  <r>
    <x v="1863"/>
    <s v="Carrville"/>
    <n v="106858"/>
    <n v="484"/>
    <n v="30283"/>
    <n v="38"/>
    <n v="50"/>
    <x v="0"/>
    <n v="0"/>
    <x v="2"/>
    <n v="0.4395"/>
  </r>
  <r>
    <x v="1864"/>
    <s v="New Grant"/>
    <n v="58305"/>
    <n v="371"/>
    <n v="11622"/>
    <n v="3"/>
    <n v="35"/>
    <x v="0"/>
    <n v="0"/>
    <x v="0"/>
    <n v="0.4395"/>
  </r>
  <r>
    <x v="1865"/>
    <s v="Higginsborough"/>
    <n v="136568"/>
    <n v="802"/>
    <n v="47394"/>
    <n v="20"/>
    <n v="90"/>
    <x v="1"/>
    <n v="1"/>
    <x v="3"/>
    <n v="0.4395"/>
  </r>
  <r>
    <x v="1866"/>
    <s v="East Edward"/>
    <n v="143992"/>
    <n v="400"/>
    <n v="9828"/>
    <n v="23"/>
    <n v="60"/>
    <x v="1"/>
    <n v="1"/>
    <x v="0"/>
    <n v="0.4395"/>
  </r>
  <r>
    <x v="1867"/>
    <s v="East Benjamin"/>
    <n v="60539"/>
    <n v="345"/>
    <n v="18387"/>
    <n v="35"/>
    <n v="40"/>
    <x v="0"/>
    <n v="0"/>
    <x v="0"/>
    <n v="0.4395"/>
  </r>
  <r>
    <x v="1868"/>
    <s v="Baileyborough"/>
    <n v="73064"/>
    <n v="681"/>
    <n v="44735"/>
    <n v="32"/>
    <n v="60"/>
    <x v="1"/>
    <n v="1"/>
    <x v="1"/>
    <n v="0.4395"/>
  </r>
  <r>
    <x v="1869"/>
    <s v="Port Maryton"/>
    <n v="131498"/>
    <n v="506"/>
    <n v="2136"/>
    <n v="17"/>
    <n v="60"/>
    <x v="1"/>
    <n v="1"/>
    <x v="2"/>
    <n v="0.4395"/>
  </r>
  <r>
    <x v="1870"/>
    <s v="Port Ashleyshire"/>
    <n v="49340"/>
    <n v="628"/>
    <n v="8174"/>
    <n v="29"/>
    <n v="50"/>
    <x v="0"/>
    <n v="0"/>
    <x v="1"/>
    <n v="0.4395"/>
  </r>
  <r>
    <x v="1871"/>
    <s v="Port Jessica"/>
    <n v="133369"/>
    <n v="395"/>
    <n v="2496"/>
    <n v="9"/>
    <n v="55"/>
    <x v="0"/>
    <n v="0"/>
    <x v="0"/>
    <n v="0.4395"/>
  </r>
  <r>
    <x v="1872"/>
    <s v="Elizabethland"/>
    <n v="148034"/>
    <n v="610"/>
    <n v="14031"/>
    <n v="30"/>
    <n v="75"/>
    <x v="1"/>
    <n v="1"/>
    <x v="1"/>
    <n v="0.4395"/>
  </r>
  <r>
    <x v="1873"/>
    <s v="New Madelinetown"/>
    <n v="108116"/>
    <n v="725"/>
    <n v="31808"/>
    <n v="5"/>
    <n v="70"/>
    <x v="1"/>
    <n v="1"/>
    <x v="1"/>
    <n v="0.4395"/>
  </r>
  <r>
    <x v="1874"/>
    <s v="East Raymondberg"/>
    <n v="30371"/>
    <n v="455"/>
    <n v="8573"/>
    <n v="13"/>
    <n v="30"/>
    <x v="0"/>
    <n v="0"/>
    <x v="2"/>
    <n v="0.4395"/>
  </r>
  <r>
    <x v="1875"/>
    <s v="Ortizberg"/>
    <n v="66342"/>
    <n v="354"/>
    <n v="8547"/>
    <n v="38"/>
    <n v="45"/>
    <x v="0"/>
    <n v="0"/>
    <x v="0"/>
    <n v="0.4395"/>
  </r>
  <r>
    <x v="1876"/>
    <s v="Powellberg"/>
    <n v="142513"/>
    <n v="485"/>
    <n v="3742"/>
    <n v="7"/>
    <n v="55"/>
    <x v="0"/>
    <n v="0"/>
    <x v="2"/>
    <n v="0.4395"/>
  </r>
  <r>
    <x v="1877"/>
    <s v="Dorothyhaven"/>
    <n v="48964"/>
    <n v="748"/>
    <n v="17297"/>
    <n v="12"/>
    <n v="65"/>
    <x v="1"/>
    <n v="1"/>
    <x v="1"/>
    <n v="0.4395"/>
  </r>
  <r>
    <x v="1878"/>
    <s v="Ashleychester"/>
    <n v="47038"/>
    <n v="689"/>
    <n v="23106"/>
    <n v="13"/>
    <n v="50"/>
    <x v="0"/>
    <n v="0"/>
    <x v="1"/>
    <n v="0.4395"/>
  </r>
  <r>
    <x v="1879"/>
    <s v="Kimberlyville"/>
    <n v="100807"/>
    <n v="453"/>
    <n v="19484"/>
    <n v="11"/>
    <n v="55"/>
    <x v="0"/>
    <n v="0"/>
    <x v="2"/>
    <n v="0.4395"/>
  </r>
  <r>
    <x v="1880"/>
    <s v="Garrettberg"/>
    <n v="62853"/>
    <n v="645"/>
    <n v="1572"/>
    <n v="36"/>
    <n v="65"/>
    <x v="1"/>
    <n v="1"/>
    <x v="1"/>
    <n v="0.4395"/>
  </r>
  <r>
    <x v="1881"/>
    <s v="Nicholastown"/>
    <n v="134662"/>
    <n v="498"/>
    <n v="46916"/>
    <n v="23"/>
    <n v="50"/>
    <x v="0"/>
    <n v="0"/>
    <x v="2"/>
    <n v="0.4395"/>
  </r>
  <r>
    <x v="1882"/>
    <s v="Port Sarahshire"/>
    <n v="52871"/>
    <n v="653"/>
    <n v="9401"/>
    <n v="37"/>
    <n v="60"/>
    <x v="1"/>
    <n v="1"/>
    <x v="1"/>
    <n v="0.4395"/>
  </r>
  <r>
    <x v="1883"/>
    <s v="East Joshuachester"/>
    <n v="44408"/>
    <n v="667"/>
    <n v="37024"/>
    <n v="20"/>
    <n v="40"/>
    <x v="0"/>
    <n v="0"/>
    <x v="1"/>
    <n v="0.4395"/>
  </r>
  <r>
    <x v="1884"/>
    <s v="East Meghan"/>
    <n v="116646"/>
    <n v="565"/>
    <n v="5911"/>
    <n v="9"/>
    <n v="55"/>
    <x v="0"/>
    <n v="0"/>
    <x v="2"/>
    <n v="0.4395"/>
  </r>
  <r>
    <x v="1885"/>
    <s v="Martinezburgh"/>
    <n v="143567"/>
    <n v="790"/>
    <n v="16126"/>
    <n v="35"/>
    <n v="90"/>
    <x v="1"/>
    <n v="1"/>
    <x v="3"/>
    <n v="0.4395"/>
  </r>
  <r>
    <x v="1886"/>
    <s v="South Ronaldshire"/>
    <n v="33379"/>
    <n v="322"/>
    <n v="28023"/>
    <n v="14"/>
    <n v="25"/>
    <x v="0"/>
    <n v="0"/>
    <x v="0"/>
    <n v="0.4395"/>
  </r>
  <r>
    <x v="1887"/>
    <s v="West Luisburgh"/>
    <n v="47275"/>
    <n v="307"/>
    <n v="15538"/>
    <n v="18"/>
    <n v="30"/>
    <x v="0"/>
    <n v="0"/>
    <x v="0"/>
    <n v="0.4395"/>
  </r>
  <r>
    <x v="1888"/>
    <s v="Rebeccafurt"/>
    <n v="31947"/>
    <n v="808"/>
    <n v="37990"/>
    <n v="40"/>
    <n v="65"/>
    <x v="1"/>
    <n v="1"/>
    <x v="3"/>
    <n v="0.4395"/>
  </r>
  <r>
    <x v="1889"/>
    <s v="West Scottstad"/>
    <n v="76955"/>
    <n v="680"/>
    <n v="19680"/>
    <n v="27"/>
    <n v="70"/>
    <x v="1"/>
    <n v="1"/>
    <x v="1"/>
    <n v="0.4395"/>
  </r>
  <r>
    <x v="1890"/>
    <s v="East Maryview"/>
    <n v="133544"/>
    <n v="772"/>
    <n v="29454"/>
    <n v="0"/>
    <n v="75"/>
    <x v="1"/>
    <n v="1"/>
    <x v="3"/>
    <n v="0.4395"/>
  </r>
  <r>
    <x v="1891"/>
    <s v="North Jaredchester"/>
    <n v="133341"/>
    <n v="535"/>
    <n v="7578"/>
    <n v="28"/>
    <n v="60"/>
    <x v="1"/>
    <n v="1"/>
    <x v="2"/>
    <n v="0.4395"/>
  </r>
  <r>
    <x v="1892"/>
    <s v="South Zachary"/>
    <n v="61186"/>
    <n v="313"/>
    <n v="34872"/>
    <n v="6"/>
    <n v="30"/>
    <x v="0"/>
    <n v="0"/>
    <x v="0"/>
    <n v="0.4395"/>
  </r>
  <r>
    <x v="1893"/>
    <s v="New Anthony"/>
    <n v="107182"/>
    <n v="410"/>
    <n v="23460"/>
    <n v="3"/>
    <n v="45"/>
    <x v="0"/>
    <n v="0"/>
    <x v="0"/>
    <n v="0.4395"/>
  </r>
  <r>
    <x v="1894"/>
    <s v="Garciaton"/>
    <n v="72437"/>
    <n v="773"/>
    <n v="47702"/>
    <n v="14"/>
    <n v="70"/>
    <x v="1"/>
    <n v="1"/>
    <x v="3"/>
    <n v="0.4395"/>
  </r>
  <r>
    <x v="1895"/>
    <s v="Michaelhaven"/>
    <n v="32068"/>
    <n v="582"/>
    <n v="33245"/>
    <n v="19"/>
    <n v="40"/>
    <x v="0"/>
    <n v="0"/>
    <x v="2"/>
    <n v="0.4395"/>
  </r>
  <r>
    <x v="1896"/>
    <s v="North Andre"/>
    <n v="52838"/>
    <n v="745"/>
    <n v="12909"/>
    <n v="22"/>
    <n v="80"/>
    <x v="1"/>
    <n v="1"/>
    <x v="1"/>
    <n v="0.4395"/>
  </r>
  <r>
    <x v="1897"/>
    <s v="Warnerview"/>
    <n v="64782"/>
    <n v="808"/>
    <n v="2945"/>
    <n v="13"/>
    <n v="90"/>
    <x v="1"/>
    <n v="1"/>
    <x v="3"/>
    <n v="0.4395"/>
  </r>
  <r>
    <x v="1898"/>
    <s v="New Richard"/>
    <n v="36868"/>
    <n v="750"/>
    <n v="17660"/>
    <n v="27"/>
    <n v="60"/>
    <x v="1"/>
    <n v="1"/>
    <x v="1"/>
    <n v="0.4395"/>
  </r>
  <r>
    <x v="1899"/>
    <s v="Brendahaven"/>
    <n v="46614"/>
    <n v="546"/>
    <n v="10058"/>
    <n v="30"/>
    <n v="35"/>
    <x v="0"/>
    <n v="0"/>
    <x v="2"/>
    <n v="0.4395"/>
  </r>
  <r>
    <x v="1900"/>
    <s v="Colemanport"/>
    <n v="127218"/>
    <n v="638"/>
    <n v="42080"/>
    <n v="37"/>
    <n v="65"/>
    <x v="1"/>
    <n v="1"/>
    <x v="1"/>
    <n v="0.4395"/>
  </r>
  <r>
    <x v="1901"/>
    <s v="Chapmanmouth"/>
    <n v="85176"/>
    <n v="427"/>
    <n v="17535"/>
    <n v="2"/>
    <n v="40"/>
    <x v="0"/>
    <n v="0"/>
    <x v="0"/>
    <n v="0.4395"/>
  </r>
  <r>
    <x v="1902"/>
    <s v="Port Jenniferview"/>
    <n v="98955"/>
    <n v="303"/>
    <n v="21646"/>
    <n v="15"/>
    <n v="50"/>
    <x v="0"/>
    <n v="0"/>
    <x v="0"/>
    <n v="0.4395"/>
  </r>
  <r>
    <x v="1903"/>
    <s v="North Jonathan"/>
    <n v="44896"/>
    <n v="813"/>
    <n v="3483"/>
    <n v="37"/>
    <n v="80"/>
    <x v="1"/>
    <n v="1"/>
    <x v="3"/>
    <n v="0.4395"/>
  </r>
  <r>
    <x v="1904"/>
    <s v="Loganhaven"/>
    <n v="127735"/>
    <n v="804"/>
    <n v="42869"/>
    <n v="14"/>
    <n v="90"/>
    <x v="1"/>
    <n v="1"/>
    <x v="3"/>
    <n v="0.4395"/>
  </r>
  <r>
    <x v="1905"/>
    <s v="Port Robertside"/>
    <n v="38330"/>
    <n v="599"/>
    <n v="7688"/>
    <n v="26"/>
    <n v="50"/>
    <x v="0"/>
    <n v="0"/>
    <x v="2"/>
    <n v="0.4395"/>
  </r>
  <r>
    <x v="1906"/>
    <s v="Mitchellton"/>
    <n v="92422"/>
    <n v="796"/>
    <n v="32450"/>
    <n v="36"/>
    <n v="80"/>
    <x v="1"/>
    <n v="1"/>
    <x v="3"/>
    <n v="0.4395"/>
  </r>
  <r>
    <x v="1907"/>
    <s v="Samuelborough"/>
    <n v="88756"/>
    <n v="827"/>
    <n v="44891"/>
    <n v="37"/>
    <n v="80"/>
    <x v="1"/>
    <n v="1"/>
    <x v="3"/>
    <n v="0.4395"/>
  </r>
  <r>
    <x v="1908"/>
    <s v="Romanland"/>
    <n v="131976"/>
    <n v="570"/>
    <n v="11822"/>
    <n v="27"/>
    <n v="60"/>
    <x v="1"/>
    <n v="1"/>
    <x v="2"/>
    <n v="0.4395"/>
  </r>
  <r>
    <x v="1909"/>
    <s v="North Christopher"/>
    <n v="77453"/>
    <n v="356"/>
    <n v="11378"/>
    <n v="1"/>
    <n v="35"/>
    <x v="0"/>
    <n v="0"/>
    <x v="0"/>
    <n v="0.4395"/>
  </r>
  <r>
    <x v="1910"/>
    <s v="East Mikeshire"/>
    <n v="97271"/>
    <n v="825"/>
    <n v="40024"/>
    <n v="32"/>
    <n v="80"/>
    <x v="1"/>
    <n v="1"/>
    <x v="3"/>
    <n v="0.4395"/>
  </r>
  <r>
    <x v="1911"/>
    <s v="North Christopher"/>
    <n v="107812"/>
    <n v="755"/>
    <n v="2468"/>
    <n v="34"/>
    <n v="95"/>
    <x v="1"/>
    <n v="1"/>
    <x v="3"/>
    <n v="0.4395"/>
  </r>
  <r>
    <x v="1912"/>
    <s v="Port Loriland"/>
    <n v="44293"/>
    <n v="708"/>
    <n v="18041"/>
    <n v="19"/>
    <n v="50"/>
    <x v="0"/>
    <n v="0"/>
    <x v="1"/>
    <n v="0.4395"/>
  </r>
  <r>
    <x v="1913"/>
    <s v="Alejandrabury"/>
    <n v="89245"/>
    <n v="750"/>
    <n v="34216"/>
    <n v="23"/>
    <n v="80"/>
    <x v="1"/>
    <n v="1"/>
    <x v="1"/>
    <n v="0.4395"/>
  </r>
  <r>
    <x v="1914"/>
    <s v="West Amberchester"/>
    <n v="96039"/>
    <n v="785"/>
    <n v="21984"/>
    <n v="30"/>
    <n v="85"/>
    <x v="1"/>
    <n v="1"/>
    <x v="3"/>
    <n v="0.4395"/>
  </r>
  <r>
    <x v="1915"/>
    <s v="South Anna"/>
    <n v="59038"/>
    <n v="606"/>
    <n v="40038"/>
    <n v="25"/>
    <n v="50"/>
    <x v="0"/>
    <n v="0"/>
    <x v="1"/>
    <n v="0.4395"/>
  </r>
  <r>
    <x v="1916"/>
    <s v="New Patricia"/>
    <n v="110623"/>
    <n v="576"/>
    <n v="11836"/>
    <n v="38"/>
    <n v="55"/>
    <x v="0"/>
    <n v="0"/>
    <x v="2"/>
    <n v="0.4395"/>
  </r>
  <r>
    <x v="1917"/>
    <s v="Barberfurt"/>
    <n v="35683"/>
    <n v="788"/>
    <n v="44554"/>
    <n v="40"/>
    <n v="60"/>
    <x v="1"/>
    <n v="1"/>
    <x v="3"/>
    <n v="0.4395"/>
  </r>
  <r>
    <x v="1918"/>
    <s v="West Rebeccaland"/>
    <n v="125321"/>
    <n v="733"/>
    <n v="8372"/>
    <n v="22"/>
    <n v="85"/>
    <x v="1"/>
    <n v="1"/>
    <x v="1"/>
    <n v="0.4395"/>
  </r>
  <r>
    <x v="1919"/>
    <s v="East Tony"/>
    <n v="132659"/>
    <n v="529"/>
    <n v="22843"/>
    <n v="24"/>
    <n v="55"/>
    <x v="0"/>
    <n v="0"/>
    <x v="2"/>
    <n v="0.4395"/>
  </r>
  <r>
    <x v="1920"/>
    <s v="Whiteton"/>
    <n v="149111"/>
    <n v="731"/>
    <n v="47006"/>
    <n v="40"/>
    <n v="75"/>
    <x v="1"/>
    <n v="1"/>
    <x v="1"/>
    <n v="0.4395"/>
  </r>
  <r>
    <x v="1921"/>
    <s v="Lake Joseph"/>
    <n v="143636"/>
    <n v="739"/>
    <n v="2679"/>
    <n v="17"/>
    <n v="85"/>
    <x v="1"/>
    <n v="1"/>
    <x v="1"/>
    <n v="0.4395"/>
  </r>
  <r>
    <x v="1922"/>
    <s v="East Annville"/>
    <n v="116363"/>
    <n v="695"/>
    <n v="10328"/>
    <n v="10"/>
    <n v="85"/>
    <x v="1"/>
    <n v="1"/>
    <x v="1"/>
    <n v="0.4395"/>
  </r>
  <r>
    <x v="1923"/>
    <s v="Hillside"/>
    <n v="98347"/>
    <n v="428"/>
    <n v="1022"/>
    <n v="32"/>
    <n v="55"/>
    <x v="0"/>
    <n v="0"/>
    <x v="0"/>
    <n v="0.4395"/>
  </r>
  <r>
    <x v="1924"/>
    <s v="Amandaside"/>
    <n v="69535"/>
    <n v="813"/>
    <n v="15939"/>
    <n v="39"/>
    <n v="85"/>
    <x v="1"/>
    <n v="1"/>
    <x v="3"/>
    <n v="0.4395"/>
  </r>
  <r>
    <x v="1925"/>
    <s v="Mendozahaven"/>
    <n v="90036"/>
    <n v="755"/>
    <n v="40448"/>
    <n v="36"/>
    <n v="75"/>
    <x v="1"/>
    <n v="1"/>
    <x v="3"/>
    <n v="0.4395"/>
  </r>
  <r>
    <x v="1926"/>
    <s v="West Charlesville"/>
    <n v="114323"/>
    <n v="554"/>
    <n v="24445"/>
    <n v="38"/>
    <n v="55"/>
    <x v="0"/>
    <n v="0"/>
    <x v="2"/>
    <n v="0.4395"/>
  </r>
  <r>
    <x v="1927"/>
    <s v="Lake Richard"/>
    <n v="34082"/>
    <n v="538"/>
    <n v="14981"/>
    <n v="30"/>
    <n v="25"/>
    <x v="0"/>
    <n v="0"/>
    <x v="2"/>
    <n v="0.4395"/>
  </r>
  <r>
    <x v="1928"/>
    <s v="North Samantha"/>
    <n v="37972"/>
    <n v="628"/>
    <n v="37457"/>
    <n v="32"/>
    <n v="40"/>
    <x v="0"/>
    <n v="0"/>
    <x v="1"/>
    <n v="0.4395"/>
  </r>
  <r>
    <x v="1929"/>
    <s v="East Michaelview"/>
    <n v="92781"/>
    <n v="609"/>
    <n v="33479"/>
    <n v="9"/>
    <n v="55"/>
    <x v="0"/>
    <n v="0"/>
    <x v="1"/>
    <n v="0.4395"/>
  </r>
  <r>
    <x v="1930"/>
    <s v="Port Jamesport"/>
    <n v="141057"/>
    <n v="580"/>
    <n v="2851"/>
    <n v="36"/>
    <n v="75"/>
    <x v="1"/>
    <n v="1"/>
    <x v="2"/>
    <n v="0.4395"/>
  </r>
  <r>
    <x v="1931"/>
    <s v="Mosleyland"/>
    <n v="82640"/>
    <n v="828"/>
    <n v="9308"/>
    <n v="16"/>
    <n v="90"/>
    <x v="1"/>
    <n v="1"/>
    <x v="3"/>
    <n v="0.4395"/>
  </r>
  <r>
    <x v="1932"/>
    <s v="New Ambertown"/>
    <n v="85872"/>
    <n v="710"/>
    <n v="31259"/>
    <n v="35"/>
    <n v="70"/>
    <x v="1"/>
    <n v="1"/>
    <x v="1"/>
    <n v="0.4395"/>
  </r>
  <r>
    <x v="1933"/>
    <s v="Blackville"/>
    <n v="119928"/>
    <n v="531"/>
    <n v="22394"/>
    <n v="39"/>
    <n v="55"/>
    <x v="0"/>
    <n v="0"/>
    <x v="2"/>
    <n v="0.4395"/>
  </r>
  <r>
    <x v="1934"/>
    <s v="Lake Theresa"/>
    <n v="44150"/>
    <n v="705"/>
    <n v="46644"/>
    <n v="39"/>
    <n v="50"/>
    <x v="0"/>
    <n v="0"/>
    <x v="1"/>
    <n v="0.4395"/>
  </r>
  <r>
    <x v="1935"/>
    <s v="Haleyland"/>
    <n v="94260"/>
    <n v="635"/>
    <n v="23300"/>
    <n v="37"/>
    <n v="65"/>
    <x v="1"/>
    <n v="1"/>
    <x v="1"/>
    <n v="0.4395"/>
  </r>
  <r>
    <x v="1936"/>
    <s v="North Christinaburgh"/>
    <n v="123375"/>
    <n v="359"/>
    <n v="46052"/>
    <n v="30"/>
    <n v="50"/>
    <x v="0"/>
    <n v="0"/>
    <x v="0"/>
    <n v="0.4395"/>
  </r>
  <r>
    <x v="1937"/>
    <s v="West Danielfort"/>
    <n v="149236"/>
    <n v="380"/>
    <n v="28687"/>
    <n v="3"/>
    <n v="45"/>
    <x v="0"/>
    <n v="0"/>
    <x v="0"/>
    <n v="0.4395"/>
  </r>
  <r>
    <x v="1938"/>
    <s v="Clarkmouth"/>
    <n v="88138"/>
    <n v="554"/>
    <n v="27921"/>
    <n v="8"/>
    <n v="40"/>
    <x v="0"/>
    <n v="0"/>
    <x v="2"/>
    <n v="0.4395"/>
  </r>
  <r>
    <x v="1939"/>
    <s v="South Toddton"/>
    <n v="39632"/>
    <n v="325"/>
    <n v="39936"/>
    <n v="36"/>
    <n v="25"/>
    <x v="0"/>
    <n v="0"/>
    <x v="0"/>
    <n v="0.4395"/>
  </r>
  <r>
    <x v="1940"/>
    <s v="Haroldport"/>
    <n v="147868"/>
    <n v="685"/>
    <n v="25578"/>
    <n v="17"/>
    <n v="80"/>
    <x v="1"/>
    <n v="1"/>
    <x v="1"/>
    <n v="0.4395"/>
  </r>
  <r>
    <x v="1941"/>
    <s v="Reynoldschester"/>
    <n v="40589"/>
    <n v="351"/>
    <n v="22422"/>
    <n v="27"/>
    <n v="25"/>
    <x v="0"/>
    <n v="0"/>
    <x v="0"/>
    <n v="0.4395"/>
  </r>
  <r>
    <x v="1942"/>
    <s v="Leroystad"/>
    <n v="72219"/>
    <n v="801"/>
    <n v="30038"/>
    <n v="21"/>
    <n v="75"/>
    <x v="1"/>
    <n v="1"/>
    <x v="3"/>
    <n v="0.4395"/>
  </r>
  <r>
    <x v="1943"/>
    <s v="Kaylabury"/>
    <n v="109730"/>
    <n v="496"/>
    <n v="34188"/>
    <n v="38"/>
    <n v="50"/>
    <x v="0"/>
    <n v="0"/>
    <x v="2"/>
    <n v="0.4395"/>
  </r>
  <r>
    <x v="1944"/>
    <s v="Jonathanfurt"/>
    <n v="49442"/>
    <n v="690"/>
    <n v="9572"/>
    <n v="40"/>
    <n v="60"/>
    <x v="1"/>
    <n v="1"/>
    <x v="1"/>
    <n v="0.4395"/>
  </r>
  <r>
    <x v="1945"/>
    <s v="North Randymouth"/>
    <n v="38609"/>
    <n v="655"/>
    <n v="16001"/>
    <n v="3"/>
    <n v="30"/>
    <x v="0"/>
    <n v="0"/>
    <x v="1"/>
    <n v="0.4395"/>
  </r>
  <r>
    <x v="1946"/>
    <s v="North Gregory"/>
    <n v="46540"/>
    <n v="601"/>
    <n v="12864"/>
    <n v="28"/>
    <n v="45"/>
    <x v="0"/>
    <n v="0"/>
    <x v="1"/>
    <n v="0.4395"/>
  </r>
  <r>
    <x v="1947"/>
    <s v="Collinsberg"/>
    <n v="66046"/>
    <n v="623"/>
    <n v="41191"/>
    <n v="4"/>
    <n v="40"/>
    <x v="0"/>
    <n v="0"/>
    <x v="1"/>
    <n v="0.4395"/>
  </r>
  <r>
    <x v="1948"/>
    <s v="North Nathanhaven"/>
    <n v="111830"/>
    <n v="557"/>
    <n v="35957"/>
    <n v="33"/>
    <n v="50"/>
    <x v="0"/>
    <n v="0"/>
    <x v="2"/>
    <n v="0.4395"/>
  </r>
  <r>
    <x v="1949"/>
    <s v="North Thomashaven"/>
    <n v="112978"/>
    <n v="705"/>
    <n v="32535"/>
    <n v="31"/>
    <n v="75"/>
    <x v="1"/>
    <n v="1"/>
    <x v="1"/>
    <n v="0.4395"/>
  </r>
  <r>
    <x v="1950"/>
    <s v="Scotttown"/>
    <n v="106724"/>
    <n v="579"/>
    <n v="30236"/>
    <n v="8"/>
    <n v="45"/>
    <x v="0"/>
    <n v="0"/>
    <x v="2"/>
    <n v="0.4395"/>
  </r>
  <r>
    <x v="1951"/>
    <s v="Jonesville"/>
    <n v="101874"/>
    <n v="468"/>
    <n v="4504"/>
    <n v="13"/>
    <n v="60"/>
    <x v="1"/>
    <n v="1"/>
    <x v="2"/>
    <n v="0.4395"/>
  </r>
  <r>
    <x v="1952"/>
    <s v="Petersonchester"/>
    <n v="123343"/>
    <n v="654"/>
    <n v="46641"/>
    <n v="37"/>
    <n v="65"/>
    <x v="1"/>
    <n v="1"/>
    <x v="1"/>
    <n v="0.4395"/>
  </r>
  <r>
    <x v="1953"/>
    <s v="Spencerburgh"/>
    <n v="72622"/>
    <n v="677"/>
    <n v="18349"/>
    <n v="32"/>
    <n v="65"/>
    <x v="1"/>
    <n v="1"/>
    <x v="1"/>
    <n v="0.4395"/>
  </r>
  <r>
    <x v="1954"/>
    <s v="New Mark"/>
    <n v="79925"/>
    <n v="559"/>
    <n v="24725"/>
    <n v="17"/>
    <n v="45"/>
    <x v="0"/>
    <n v="0"/>
    <x v="2"/>
    <n v="0.4395"/>
  </r>
  <r>
    <x v="1955"/>
    <s v="Deniseport"/>
    <n v="108301"/>
    <n v="778"/>
    <n v="23186"/>
    <n v="9"/>
    <n v="85"/>
    <x v="1"/>
    <n v="1"/>
    <x v="3"/>
    <n v="0.4395"/>
  </r>
  <r>
    <x v="1956"/>
    <s v="East Eric"/>
    <n v="99541"/>
    <n v="758"/>
    <n v="19708"/>
    <n v="34"/>
    <n v="85"/>
    <x v="1"/>
    <n v="1"/>
    <x v="3"/>
    <n v="0.4395"/>
  </r>
  <r>
    <x v="1957"/>
    <s v="South Samuelfurt"/>
    <n v="68652"/>
    <n v="511"/>
    <n v="16918"/>
    <n v="18"/>
    <n v="45"/>
    <x v="0"/>
    <n v="0"/>
    <x v="2"/>
    <n v="0.4395"/>
  </r>
  <r>
    <x v="1958"/>
    <s v="North James"/>
    <n v="89469"/>
    <n v="688"/>
    <n v="45897"/>
    <n v="10"/>
    <n v="65"/>
    <x v="1"/>
    <n v="1"/>
    <x v="1"/>
    <n v="0.4395"/>
  </r>
  <r>
    <x v="1959"/>
    <s v="Lake Amyland"/>
    <n v="96263"/>
    <n v="696"/>
    <n v="17183"/>
    <n v="2"/>
    <n v="65"/>
    <x v="1"/>
    <n v="1"/>
    <x v="1"/>
    <n v="0.4395"/>
  </r>
  <r>
    <x v="1960"/>
    <s v="Lynchbury"/>
    <n v="109354"/>
    <n v="632"/>
    <n v="48132"/>
    <n v="34"/>
    <n v="60"/>
    <x v="1"/>
    <n v="1"/>
    <x v="1"/>
    <n v="0.4395"/>
  </r>
  <r>
    <x v="1961"/>
    <s v="West Melanie"/>
    <n v="86387"/>
    <n v="612"/>
    <n v="1774"/>
    <n v="2"/>
    <n v="60"/>
    <x v="1"/>
    <n v="1"/>
    <x v="1"/>
    <n v="0.4395"/>
  </r>
  <r>
    <x v="1962"/>
    <s v="New Cesarfurt"/>
    <n v="42999"/>
    <n v="751"/>
    <n v="32075"/>
    <n v="32"/>
    <n v="60"/>
    <x v="1"/>
    <n v="1"/>
    <x v="3"/>
    <n v="0.4395"/>
  </r>
  <r>
    <x v="1963"/>
    <s v="Vanessaview"/>
    <n v="133952"/>
    <n v="560"/>
    <n v="17671"/>
    <n v="23"/>
    <n v="55"/>
    <x v="0"/>
    <n v="0"/>
    <x v="2"/>
    <n v="0.4395"/>
  </r>
  <r>
    <x v="1964"/>
    <s v="Port Amanda"/>
    <n v="121983"/>
    <n v="670"/>
    <n v="46117"/>
    <n v="4"/>
    <n v="65"/>
    <x v="1"/>
    <n v="1"/>
    <x v="1"/>
    <n v="0.4395"/>
  </r>
  <r>
    <x v="1965"/>
    <s v="North Darlenemouth"/>
    <n v="44996"/>
    <n v="546"/>
    <n v="43182"/>
    <n v="38"/>
    <n v="25"/>
    <x v="0"/>
    <n v="0"/>
    <x v="2"/>
    <n v="0.4395"/>
  </r>
  <r>
    <x v="1966"/>
    <s v="Morganfurt"/>
    <n v="141777"/>
    <n v="735"/>
    <n v="39425"/>
    <n v="33"/>
    <n v="75"/>
    <x v="1"/>
    <n v="1"/>
    <x v="1"/>
    <n v="0.4395"/>
  </r>
  <r>
    <x v="1967"/>
    <s v="West Victoriamouth"/>
    <n v="115814"/>
    <n v="792"/>
    <n v="38930"/>
    <n v="8"/>
    <n v="80"/>
    <x v="1"/>
    <n v="1"/>
    <x v="3"/>
    <n v="0.4395"/>
  </r>
  <r>
    <x v="1968"/>
    <s v="West Nicholas"/>
    <n v="115316"/>
    <n v="337"/>
    <n v="6868"/>
    <n v="38"/>
    <n v="60"/>
    <x v="1"/>
    <n v="1"/>
    <x v="0"/>
    <n v="0.4395"/>
  </r>
  <r>
    <x v="1969"/>
    <s v="West David"/>
    <n v="145042"/>
    <n v="508"/>
    <n v="37486"/>
    <n v="14"/>
    <n v="50"/>
    <x v="0"/>
    <n v="0"/>
    <x v="2"/>
    <n v="0.4395"/>
  </r>
  <r>
    <x v="1970"/>
    <s v="East Theresaside"/>
    <n v="130789"/>
    <n v="811"/>
    <n v="2971"/>
    <n v="25"/>
    <n v="100"/>
    <x v="1"/>
    <n v="1"/>
    <x v="3"/>
    <n v="0.4395"/>
  </r>
  <r>
    <x v="1971"/>
    <s v="East Zachary"/>
    <n v="102264"/>
    <n v="827"/>
    <n v="4235"/>
    <n v="36"/>
    <n v="100"/>
    <x v="1"/>
    <n v="1"/>
    <x v="3"/>
    <n v="0.4395"/>
  </r>
  <r>
    <x v="1972"/>
    <s v="Port Darylburgh"/>
    <n v="124481"/>
    <n v="535"/>
    <n v="12516"/>
    <n v="0"/>
    <n v="40"/>
    <x v="0"/>
    <n v="0"/>
    <x v="2"/>
    <n v="0.4395"/>
  </r>
  <r>
    <x v="1973"/>
    <s v="Grayton"/>
    <n v="143441"/>
    <n v="330"/>
    <n v="34287"/>
    <n v="40"/>
    <n v="55"/>
    <x v="0"/>
    <n v="0"/>
    <x v="0"/>
    <n v="0.4395"/>
  </r>
  <r>
    <x v="1974"/>
    <s v="Espinozaville"/>
    <n v="58183"/>
    <n v="311"/>
    <n v="36896"/>
    <n v="5"/>
    <n v="30"/>
    <x v="0"/>
    <n v="0"/>
    <x v="0"/>
    <n v="0.4395"/>
  </r>
  <r>
    <x v="1975"/>
    <s v="West Bryanbury"/>
    <n v="86370"/>
    <n v="596"/>
    <n v="21927"/>
    <n v="15"/>
    <n v="60"/>
    <x v="1"/>
    <n v="1"/>
    <x v="2"/>
    <n v="0.4395"/>
  </r>
  <r>
    <x v="1976"/>
    <s v="Port Timothychester"/>
    <n v="89186"/>
    <n v="441"/>
    <n v="13778"/>
    <n v="20"/>
    <n v="50"/>
    <x v="0"/>
    <n v="0"/>
    <x v="0"/>
    <n v="0.4395"/>
  </r>
  <r>
    <x v="1977"/>
    <s v="North Adamtown"/>
    <n v="146403"/>
    <n v="768"/>
    <n v="27494"/>
    <n v="11"/>
    <n v="90"/>
    <x v="1"/>
    <n v="1"/>
    <x v="3"/>
    <n v="0.4395"/>
  </r>
  <r>
    <x v="1978"/>
    <s v="Stephanieshire"/>
    <n v="59949"/>
    <n v="688"/>
    <n v="29674"/>
    <n v="4"/>
    <n v="50"/>
    <x v="0"/>
    <n v="0"/>
    <x v="1"/>
    <n v="0.4395"/>
  </r>
  <r>
    <x v="1979"/>
    <s v="Christophertown"/>
    <n v="84239"/>
    <n v="702"/>
    <n v="25311"/>
    <n v="19"/>
    <n v="70"/>
    <x v="1"/>
    <n v="1"/>
    <x v="1"/>
    <n v="0.4395"/>
  </r>
  <r>
    <x v="1980"/>
    <s v="West Aaron"/>
    <n v="74424"/>
    <n v="757"/>
    <n v="36497"/>
    <n v="20"/>
    <n v="70"/>
    <x v="1"/>
    <n v="1"/>
    <x v="3"/>
    <n v="0.4395"/>
  </r>
  <r>
    <x v="1981"/>
    <s v="Kelseyfort"/>
    <n v="138451"/>
    <n v="342"/>
    <n v="35261"/>
    <n v="39"/>
    <n v="50"/>
    <x v="0"/>
    <n v="0"/>
    <x v="0"/>
    <n v="0.4395"/>
  </r>
  <r>
    <x v="1982"/>
    <s v="Barnesborough"/>
    <n v="89441"/>
    <n v="601"/>
    <n v="37304"/>
    <n v="9"/>
    <n v="50"/>
    <x v="0"/>
    <n v="0"/>
    <x v="1"/>
    <n v="0.4395"/>
  </r>
  <r>
    <x v="1983"/>
    <s v="Mooremouth"/>
    <n v="82262"/>
    <n v="315"/>
    <n v="35600"/>
    <n v="14"/>
    <n v="40"/>
    <x v="0"/>
    <n v="0"/>
    <x v="0"/>
    <n v="0.4395"/>
  </r>
  <r>
    <x v="1984"/>
    <s v="South Allisonfort"/>
    <n v="84524"/>
    <n v="374"/>
    <n v="24860"/>
    <n v="1"/>
    <n v="30"/>
    <x v="0"/>
    <n v="0"/>
    <x v="0"/>
    <n v="0.4395"/>
  </r>
  <r>
    <x v="1985"/>
    <s v="Anthonyshire"/>
    <n v="125631"/>
    <n v="765"/>
    <n v="25710"/>
    <n v="1"/>
    <n v="75"/>
    <x v="1"/>
    <n v="1"/>
    <x v="3"/>
    <n v="0.4395"/>
  </r>
  <r>
    <x v="1986"/>
    <s v="East Ryanstad"/>
    <n v="42463"/>
    <n v="765"/>
    <n v="42357"/>
    <n v="33"/>
    <n v="60"/>
    <x v="1"/>
    <n v="1"/>
    <x v="3"/>
    <n v="0.4395"/>
  </r>
  <r>
    <x v="1987"/>
    <s v="West Tiffanyside"/>
    <n v="70966"/>
    <n v="305"/>
    <n v="38462"/>
    <n v="23"/>
    <n v="35"/>
    <x v="0"/>
    <n v="0"/>
    <x v="0"/>
    <n v="0.4395"/>
  </r>
  <r>
    <x v="1988"/>
    <s v="Matthewmouth"/>
    <n v="85936"/>
    <n v="420"/>
    <n v="31183"/>
    <n v="31"/>
    <n v="45"/>
    <x v="0"/>
    <n v="0"/>
    <x v="0"/>
    <n v="0.4395"/>
  </r>
  <r>
    <x v="1989"/>
    <s v="South Kenneth"/>
    <n v="70963"/>
    <n v="489"/>
    <n v="5890"/>
    <n v="6"/>
    <n v="45"/>
    <x v="0"/>
    <n v="0"/>
    <x v="2"/>
    <n v="0.4395"/>
  </r>
  <r>
    <x v="1990"/>
    <s v="West Christopher"/>
    <n v="117177"/>
    <n v="712"/>
    <n v="10028"/>
    <n v="27"/>
    <n v="85"/>
    <x v="1"/>
    <n v="1"/>
    <x v="1"/>
    <n v="0.4395"/>
  </r>
  <r>
    <x v="1991"/>
    <s v="Cookshire"/>
    <n v="63408"/>
    <n v="376"/>
    <n v="30443"/>
    <n v="3"/>
    <n v="25"/>
    <x v="0"/>
    <n v="0"/>
    <x v="0"/>
    <n v="0.4395"/>
  </r>
  <r>
    <x v="1992"/>
    <s v="Jenniferstad"/>
    <n v="79060"/>
    <n v="572"/>
    <n v="9643"/>
    <n v="6"/>
    <n v="45"/>
    <x v="0"/>
    <n v="0"/>
    <x v="2"/>
    <n v="0.4395"/>
  </r>
  <r>
    <x v="1993"/>
    <s v="Basston"/>
    <n v="50006"/>
    <n v="626"/>
    <n v="29515"/>
    <n v="32"/>
    <n v="50"/>
    <x v="0"/>
    <n v="0"/>
    <x v="1"/>
    <n v="0.4395"/>
  </r>
  <r>
    <x v="1994"/>
    <s v="Tylertown"/>
    <n v="120023"/>
    <n v="318"/>
    <n v="49124"/>
    <n v="3"/>
    <n v="35"/>
    <x v="0"/>
    <n v="0"/>
    <x v="0"/>
    <n v="0.4395"/>
  </r>
  <r>
    <x v="1995"/>
    <s v="Robertton"/>
    <n v="92163"/>
    <n v="770"/>
    <n v="12251"/>
    <n v="13"/>
    <n v="85"/>
    <x v="1"/>
    <n v="1"/>
    <x v="3"/>
    <n v="0.4395"/>
  </r>
  <r>
    <x v="1996"/>
    <s v="New Frank"/>
    <n v="38799"/>
    <n v="635"/>
    <n v="48259"/>
    <n v="17"/>
    <n v="40"/>
    <x v="0"/>
    <n v="0"/>
    <x v="1"/>
    <n v="0.4395"/>
  </r>
  <r>
    <x v="1997"/>
    <s v="East Haley"/>
    <n v="41957"/>
    <n v="763"/>
    <n v="16752"/>
    <n v="5"/>
    <n v="60"/>
    <x v="1"/>
    <n v="1"/>
    <x v="3"/>
    <n v="0.4395"/>
  </r>
  <r>
    <x v="1998"/>
    <s v="Adamland"/>
    <n v="139022"/>
    <n v="360"/>
    <n v="24031"/>
    <n v="35"/>
    <n v="55"/>
    <x v="0"/>
    <n v="0"/>
    <x v="0"/>
    <n v="0.4395"/>
  </r>
  <r>
    <x v="1999"/>
    <s v="New Nathantown"/>
    <n v="41188"/>
    <n v="482"/>
    <n v="31397"/>
    <n v="6"/>
    <n v="20"/>
    <x v="0"/>
    <n v="0"/>
    <x v="2"/>
    <n v="0.43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n v="34722"/>
    <n v="532"/>
    <n v="49999"/>
    <n v="38"/>
    <n v="25"/>
    <b v="0"/>
    <n v="0"/>
    <s v="451-600 (Fair)"/>
    <n v="0.4395"/>
  </r>
  <r>
    <x v="1"/>
    <x v="1"/>
    <n v="104607"/>
    <n v="495"/>
    <n v="49982"/>
    <n v="8"/>
    <n v="40"/>
    <b v="0"/>
    <n v="0"/>
    <s v="451-600 (Fair)"/>
    <n v="0.4395"/>
  </r>
  <r>
    <x v="2"/>
    <x v="2"/>
    <n v="87654"/>
    <n v="333"/>
    <n v="49922"/>
    <n v="10"/>
    <n v="40"/>
    <b v="0"/>
    <n v="0"/>
    <s v="300-450 (Poor)"/>
    <n v="0.4395"/>
  </r>
  <r>
    <x v="3"/>
    <x v="3"/>
    <n v="77537"/>
    <n v="480"/>
    <n v="49920"/>
    <n v="21"/>
    <n v="40"/>
    <b v="0"/>
    <n v="0"/>
    <s v="451-600 (Fair)"/>
    <n v="0.4395"/>
  </r>
  <r>
    <x v="4"/>
    <x v="4"/>
    <n v="83955"/>
    <n v="312"/>
    <n v="49906"/>
    <n v="33"/>
    <n v="40"/>
    <b v="0"/>
    <n v="0"/>
    <s v="300-450 (Poor)"/>
    <n v="0.43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D08F0E-4814-4EE7-A553-BE722E52A3D1}" name="PivotTable3" cacheId="5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4" firstHeaderRow="0" firstDataRow="1" firstDataCol="0"/>
  <pivotFields count="11">
    <pivotField showAll="0"/>
    <pivotField showAll="0"/>
    <pivotField showAll="0"/>
    <pivotField showAll="0"/>
    <pivotField showAll="0"/>
    <pivotField dataField="1" showAll="0"/>
    <pivotField dataField="1" showAll="0"/>
    <pivotField showAll="0">
      <items count="3">
        <item x="0"/>
        <item x="1"/>
        <item t="default"/>
      </items>
    </pivotField>
    <pivotField showAll="0"/>
    <pivotField showAll="0">
      <items count="5">
        <item x="0"/>
        <item x="2"/>
        <item x="1"/>
        <item x="3"/>
        <item t="default"/>
      </items>
    </pivotField>
    <pivotField numFmtId="164" showAll="0"/>
  </pivotFields>
  <rowItems count="1">
    <i/>
  </rowItems>
  <colFields count="1">
    <field x="-2"/>
  </colFields>
  <colItems count="2">
    <i>
      <x/>
    </i>
    <i i="1">
      <x v="1"/>
    </i>
  </colItems>
  <dataFields count="2">
    <dataField name="Sum of Points" fld="6" baseField="0" baseItem="0"/>
    <dataField name="Sum of Years_Employed" fld="5"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AEA7ED-6430-482A-8B41-5244658AD746}" name="PivotTable6" cacheId="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6"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2"/>
  </colFields>
  <colItems count="2">
    <i>
      <x/>
    </i>
    <i i="1">
      <x v="1"/>
    </i>
  </colItems>
  <dataFields count="2">
    <dataField name="Sum of Income" fld="1" baseField="0" baseItem="1"/>
    <dataField name="Sum of Loan_Amount" fld="0" baseField="0" baseItem="0"/>
  </dataFields>
  <chartFormats count="8">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 chart="0" format="6">
      <pivotArea type="data" outline="0" fieldPosition="0">
        <references count="2">
          <reference field="4294967294" count="1" selected="0">
            <x v="0"/>
          </reference>
          <reference field="2" count="1" selected="0">
            <x v="0"/>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2" count="1" selected="0">
            <x v="0"/>
          </reference>
        </references>
      </pivotArea>
    </chartFormat>
    <chartFormat chart="2" format="13">
      <pivotArea type="data" outline="0" fieldPosition="0">
        <references count="2">
          <reference field="4294967294" count="1" selected="0">
            <x v="0"/>
          </reference>
          <reference field="2" count="1" selected="0">
            <x v="1"/>
          </reference>
        </references>
      </pivotArea>
    </chartFormat>
    <chartFormat chart="2" format="14" series="1">
      <pivotArea type="data" outline="0" fieldPosition="0">
        <references count="1">
          <reference field="4294967294" count="1" selected="0">
            <x v="1"/>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Income"/>
    <pivotHierarchy dragToData="1"/>
    <pivotHierarchy dragToData="1"/>
    <pivotHierarchy dragToData="1"/>
    <pivotHierarchy dragToData="1" caption="Average of Income"/>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esment Table!$A$2:$K$2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FC41EB-9D20-4093-B8CC-AA9723182405}" name="PivotTable8" cacheId="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Names">
  <location ref="A3:B9" firstHeaderRow="1" firstDataRow="1" firstDataCol="1"/>
  <pivotFields count="11">
    <pivotField axis="axisRow" showAll="0">
      <items count="6">
        <item x="0"/>
        <item x="3"/>
        <item x="1"/>
        <item x="2"/>
        <item x="4"/>
        <item t="default"/>
      </items>
    </pivotField>
    <pivotField showAll="0">
      <items count="6">
        <item x="0"/>
        <item x="3"/>
        <item x="2"/>
        <item x="1"/>
        <item x="4"/>
        <item t="default"/>
      </items>
    </pivotField>
    <pivotField showAll="0"/>
    <pivotField showAll="0"/>
    <pivotField dataField="1" showAll="0"/>
    <pivotField showAll="0"/>
    <pivotField showAll="0"/>
    <pivotField showAll="0"/>
    <pivotField showAll="0"/>
    <pivotField showAll="0"/>
    <pivotField numFmtId="164" showAll="0"/>
  </pivotFields>
  <rowFields count="1">
    <field x="0"/>
  </rowFields>
  <rowItems count="6">
    <i>
      <x/>
    </i>
    <i>
      <x v="1"/>
    </i>
    <i>
      <x v="2"/>
    </i>
    <i>
      <x v="3"/>
    </i>
    <i>
      <x v="4"/>
    </i>
    <i t="grand">
      <x/>
    </i>
  </rowItems>
  <colItems count="1">
    <i/>
  </colItems>
  <dataFields count="1">
    <dataField name="Sum of Loan_Amount"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D5CEF8-907C-425E-B8A2-D99B6C8C70C2}" name="PivotTable9" cacheId="5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11">
    <pivotField showAll="0">
      <items count="2001">
        <item x="1036"/>
        <item x="95"/>
        <item x="1898"/>
        <item x="599"/>
        <item x="1539"/>
        <item x="1282"/>
        <item x="1017"/>
        <item x="1477"/>
        <item x="827"/>
        <item x="1561"/>
        <item x="669"/>
        <item x="1367"/>
        <item x="1003"/>
        <item x="1401"/>
        <item x="1914"/>
        <item x="1942"/>
        <item x="1212"/>
        <item x="488"/>
        <item x="807"/>
        <item x="824"/>
        <item x="887"/>
        <item x="1241"/>
        <item x="1840"/>
        <item x="960"/>
        <item x="933"/>
        <item x="252"/>
        <item x="1883"/>
        <item x="927"/>
        <item x="474"/>
        <item x="848"/>
        <item x="15"/>
        <item x="1328"/>
        <item x="1492"/>
        <item x="1926"/>
        <item x="982"/>
        <item x="1595"/>
        <item x="582"/>
        <item x="1637"/>
        <item x="701"/>
        <item x="904"/>
        <item x="1065"/>
        <item x="587"/>
        <item x="313"/>
        <item x="1680"/>
        <item x="1391"/>
        <item x="613"/>
        <item x="0"/>
        <item x="183"/>
        <item x="431"/>
        <item x="780"/>
        <item x="1726"/>
        <item x="1943"/>
        <item x="873"/>
        <item x="320"/>
        <item x="1185"/>
        <item x="1467"/>
        <item x="1288"/>
        <item x="928"/>
        <item x="994"/>
        <item x="1074"/>
        <item x="449"/>
        <item x="732"/>
        <item x="537"/>
        <item x="1845"/>
        <item x="1877"/>
        <item x="866"/>
        <item x="1588"/>
        <item x="229"/>
        <item x="356"/>
        <item x="1798"/>
        <item x="1309"/>
        <item x="706"/>
        <item x="1461"/>
        <item x="19"/>
        <item x="876"/>
        <item x="1741"/>
        <item x="760"/>
        <item x="1142"/>
        <item x="665"/>
        <item x="1013"/>
        <item x="1268"/>
        <item x="1061"/>
        <item x="321"/>
        <item x="1131"/>
        <item x="222"/>
        <item x="125"/>
        <item x="854"/>
        <item x="1601"/>
        <item x="1346"/>
        <item x="603"/>
        <item x="1423"/>
        <item x="1180"/>
        <item x="1182"/>
        <item x="1551"/>
        <item x="1705"/>
        <item x="1689"/>
        <item x="659"/>
        <item x="387"/>
        <item x="1918"/>
        <item x="44"/>
        <item x="1208"/>
        <item x="608"/>
        <item x="899"/>
        <item x="1636"/>
        <item x="1024"/>
        <item x="828"/>
        <item x="200"/>
        <item x="1348"/>
        <item x="40"/>
        <item x="1150"/>
        <item x="453"/>
        <item x="677"/>
        <item x="651"/>
        <item x="1976"/>
        <item x="225"/>
        <item x="952"/>
        <item x="416"/>
        <item x="1261"/>
        <item x="69"/>
        <item x="262"/>
        <item x="1500"/>
        <item x="568"/>
        <item x="671"/>
        <item x="685"/>
        <item x="970"/>
        <item x="1626"/>
        <item x="11"/>
        <item x="918"/>
        <item x="739"/>
        <item x="983"/>
        <item x="1077"/>
        <item x="1504"/>
        <item x="1162"/>
        <item x="823"/>
        <item x="126"/>
        <item x="1900"/>
        <item x="228"/>
        <item x="394"/>
        <item x="1089"/>
        <item x="257"/>
        <item x="1909"/>
        <item x="522"/>
        <item x="1026"/>
        <item x="1888"/>
        <item x="1125"/>
        <item x="957"/>
        <item x="1796"/>
        <item x="1886"/>
        <item x="1277"/>
        <item x="432"/>
        <item x="652"/>
        <item x="955"/>
        <item x="964"/>
        <item x="328"/>
        <item x="1659"/>
        <item x="1151"/>
        <item x="1729"/>
        <item x="1658"/>
        <item x="213"/>
        <item x="193"/>
        <item x="1138"/>
        <item x="1700"/>
        <item x="560"/>
        <item x="121"/>
        <item x="1507"/>
        <item x="958"/>
        <item x="1968"/>
        <item x="123"/>
        <item x="106"/>
        <item x="357"/>
        <item x="609"/>
        <item x="1347"/>
        <item x="879"/>
        <item x="154"/>
        <item x="276"/>
        <item x="318"/>
        <item x="168"/>
        <item x="1628"/>
        <item x="398"/>
        <item x="1033"/>
        <item x="1789"/>
        <item x="468"/>
        <item x="1397"/>
        <item x="1760"/>
        <item x="929"/>
        <item x="1157"/>
        <item x="1901"/>
        <item x="1779"/>
        <item x="583"/>
        <item x="45"/>
        <item x="921"/>
        <item x="490"/>
        <item x="78"/>
        <item x="855"/>
        <item x="1020"/>
        <item x="1950"/>
        <item x="1167"/>
        <item x="498"/>
        <item x="907"/>
        <item x="1753"/>
        <item x="1029"/>
        <item x="1720"/>
        <item x="1220"/>
        <item x="496"/>
        <item x="324"/>
        <item x="800"/>
        <item x="1831"/>
        <item x="484"/>
        <item x="163"/>
        <item x="81"/>
        <item x="1088"/>
        <item x="290"/>
        <item x="996"/>
        <item x="1232"/>
        <item x="429"/>
        <item x="297"/>
        <item x="305"/>
        <item x="150"/>
        <item x="1"/>
        <item x="1592"/>
        <item x="1471"/>
        <item x="1997"/>
        <item x="530"/>
        <item x="850"/>
        <item x="1458"/>
        <item x="1591"/>
        <item x="406"/>
        <item x="1564"/>
        <item x="1008"/>
        <item x="890"/>
        <item x="1343"/>
        <item x="1130"/>
        <item x="162"/>
        <item x="1163"/>
        <item x="875"/>
        <item x="512"/>
        <item x="505"/>
        <item x="277"/>
        <item x="1531"/>
        <item x="179"/>
        <item x="63"/>
        <item x="1054"/>
        <item x="1502"/>
        <item x="284"/>
        <item x="218"/>
        <item x="618"/>
        <item x="1587"/>
        <item x="404"/>
        <item x="731"/>
        <item x="1776"/>
        <item x="922"/>
        <item x="1948"/>
        <item x="33"/>
        <item x="500"/>
        <item x="1633"/>
        <item x="1221"/>
        <item x="630"/>
        <item x="1961"/>
        <item x="1597"/>
        <item x="944"/>
        <item x="1665"/>
        <item x="655"/>
        <item x="93"/>
        <item x="278"/>
        <item x="1453"/>
        <item x="455"/>
        <item x="553"/>
        <item x="1615"/>
        <item x="548"/>
        <item x="1967"/>
        <item x="1114"/>
        <item x="1971"/>
        <item x="1662"/>
        <item x="1728"/>
        <item x="809"/>
        <item x="699"/>
        <item x="822"/>
        <item x="418"/>
        <item x="334"/>
        <item x="1768"/>
        <item x="1746"/>
        <item x="527"/>
        <item x="833"/>
        <item x="1222"/>
        <item x="1913"/>
        <item x="988"/>
        <item x="119"/>
        <item x="232"/>
        <item x="1075"/>
        <item x="1514"/>
        <item x="1954"/>
        <item x="319"/>
        <item x="1927"/>
        <item x="1686"/>
        <item x="1970"/>
        <item x="1589"/>
        <item x="837"/>
        <item x="382"/>
        <item x="1944"/>
        <item x="20"/>
        <item x="1836"/>
        <item x="1068"/>
        <item x="25"/>
        <item x="642"/>
        <item x="1872"/>
        <item x="856"/>
        <item x="204"/>
        <item x="472"/>
        <item x="409"/>
        <item x="729"/>
        <item x="550"/>
        <item x="1105"/>
        <item x="924"/>
        <item x="911"/>
        <item x="174"/>
        <item x="1296"/>
        <item x="521"/>
        <item x="1027"/>
        <item x="286"/>
        <item x="1205"/>
        <item x="1160"/>
        <item x="1940"/>
        <item x="287"/>
        <item x="532"/>
        <item x="679"/>
        <item x="1310"/>
        <item x="1785"/>
        <item x="288"/>
        <item x="844"/>
        <item x="727"/>
        <item x="1646"/>
        <item x="1496"/>
        <item x="1476"/>
        <item x="1045"/>
        <item x="1707"/>
        <item x="1014"/>
        <item x="1793"/>
        <item x="1022"/>
        <item x="1567"/>
        <item x="1975"/>
        <item x="778"/>
        <item x="892"/>
        <item x="1104"/>
        <item x="46"/>
        <item x="1262"/>
        <item x="1541"/>
        <item x="1276"/>
        <item x="1158"/>
        <item x="1485"/>
        <item x="998"/>
        <item x="1554"/>
        <item x="1484"/>
        <item x="1377"/>
        <item x="1802"/>
        <item x="1727"/>
        <item x="1858"/>
        <item x="1443"/>
        <item x="91"/>
        <item x="1905"/>
        <item x="556"/>
        <item x="226"/>
        <item x="362"/>
        <item x="1762"/>
        <item x="1392"/>
        <item x="1553"/>
        <item x="1352"/>
        <item x="597"/>
        <item x="1759"/>
        <item x="1274"/>
        <item x="1042"/>
        <item x="1039"/>
        <item x="1632"/>
        <item x="1248"/>
        <item x="1258"/>
        <item x="1523"/>
        <item x="1321"/>
        <item x="787"/>
        <item x="1066"/>
        <item x="436"/>
        <item x="991"/>
        <item x="1585"/>
        <item x="1393"/>
        <item x="1111"/>
        <item x="446"/>
        <item x="1799"/>
        <item x="380"/>
        <item x="1532"/>
        <item x="1121"/>
        <item x="1991"/>
        <item x="1859"/>
        <item x="1625"/>
        <item x="575"/>
        <item x="1217"/>
        <item x="566"/>
        <item x="1775"/>
        <item x="1797"/>
        <item x="1465"/>
        <item x="981"/>
        <item x="1308"/>
        <item x="1526"/>
        <item x="1420"/>
        <item x="1612"/>
        <item x="1201"/>
        <item x="1100"/>
        <item x="1972"/>
        <item x="180"/>
        <item x="211"/>
        <item x="1115"/>
        <item x="1016"/>
        <item x="803"/>
        <item x="528"/>
        <item x="452"/>
        <item x="533"/>
        <item x="1144"/>
        <item x="243"/>
        <item x="1530"/>
        <item x="1246"/>
        <item x="969"/>
        <item x="246"/>
        <item x="108"/>
        <item x="1278"/>
        <item x="1032"/>
        <item x="758"/>
        <item x="525"/>
        <item x="74"/>
        <item x="966"/>
        <item x="1051"/>
        <item x="1835"/>
        <item x="421"/>
        <item x="1000"/>
        <item x="466"/>
        <item x="143"/>
        <item x="1544"/>
        <item x="1469"/>
        <item x="1412"/>
        <item x="1894"/>
        <item x="463"/>
        <item x="1734"/>
        <item x="523"/>
        <item x="937"/>
        <item x="1819"/>
        <item x="1952"/>
        <item x="49"/>
        <item x="1299"/>
        <item x="214"/>
        <item x="817"/>
        <item x="354"/>
        <item x="1870"/>
        <item x="1986"/>
        <item x="164"/>
        <item x="92"/>
        <item x="1805"/>
        <item x="965"/>
        <item x="212"/>
        <item x="253"/>
        <item x="1421"/>
        <item x="1474"/>
        <item x="1146"/>
        <item x="1542"/>
        <item x="1192"/>
        <item x="190"/>
        <item x="1702"/>
        <item x="764"/>
        <item x="72"/>
        <item x="925"/>
        <item x="360"/>
        <item x="1577"/>
        <item x="1748"/>
        <item x="1159"/>
        <item x="914"/>
        <item x="440"/>
        <item x="1240"/>
        <item x="930"/>
        <item x="1365"/>
        <item x="137"/>
        <item x="258"/>
        <item x="1354"/>
        <item x="1937"/>
        <item x="1445"/>
        <item x="682"/>
        <item x="1011"/>
        <item x="327"/>
        <item x="397"/>
        <item x="941"/>
        <item x="1794"/>
        <item x="1460"/>
        <item x="5"/>
        <item x="86"/>
        <item x="1755"/>
        <item x="1677"/>
        <item x="1534"/>
        <item x="1410"/>
        <item x="18"/>
        <item x="1311"/>
        <item x="756"/>
        <item x="1028"/>
        <item x="247"/>
        <item x="1722"/>
        <item x="1183"/>
        <item x="113"/>
        <item x="335"/>
        <item x="23"/>
        <item x="620"/>
        <item x="1379"/>
        <item x="1869"/>
        <item x="529"/>
        <item x="716"/>
        <item x="773"/>
        <item x="467"/>
        <item x="1499"/>
        <item x="1571"/>
        <item x="1907"/>
        <item x="959"/>
        <item x="1723"/>
        <item x="1335"/>
        <item x="646"/>
        <item x="369"/>
        <item x="561"/>
        <item x="1810"/>
        <item x="1863"/>
        <item x="1750"/>
        <item x="1364"/>
        <item x="633"/>
        <item x="1411"/>
        <item x="997"/>
        <item x="1828"/>
        <item x="1204"/>
        <item x="1714"/>
        <item x="1128"/>
        <item x="1678"/>
        <item x="1695"/>
        <item x="740"/>
        <item x="1280"/>
        <item x="1414"/>
        <item x="1611"/>
        <item x="31"/>
        <item x="122"/>
        <item x="1141"/>
        <item x="1749"/>
        <item x="264"/>
        <item x="267"/>
        <item x="1244"/>
        <item x="54"/>
        <item x="343"/>
        <item x="1933"/>
        <item x="1566"/>
        <item x="1606"/>
        <item x="1842"/>
        <item x="1996"/>
        <item x="1651"/>
        <item x="332"/>
        <item x="759"/>
        <item x="1622"/>
        <item x="132"/>
        <item x="610"/>
        <item x="1238"/>
        <item x="1139"/>
        <item x="131"/>
        <item x="1030"/>
        <item x="1155"/>
        <item x="1743"/>
        <item x="236"/>
        <item x="1191"/>
        <item x="1522"/>
        <item x="638"/>
        <item x="196"/>
        <item x="244"/>
        <item x="1715"/>
        <item x="341"/>
        <item x="1509"/>
        <item x="1777"/>
        <item x="1398"/>
        <item x="1704"/>
        <item x="660"/>
        <item x="1672"/>
        <item x="1005"/>
        <item x="641"/>
        <item x="672"/>
        <item x="191"/>
        <item x="903"/>
        <item x="384"/>
        <item x="596"/>
        <item x="508"/>
        <item x="1072"/>
        <item x="301"/>
        <item x="1880"/>
        <item x="1480"/>
        <item x="1694"/>
        <item x="972"/>
        <item x="912"/>
        <item x="1336"/>
        <item x="534"/>
        <item x="1733"/>
        <item x="1324"/>
        <item x="810"/>
        <item x="208"/>
        <item x="1692"/>
        <item x="1037"/>
        <item x="1563"/>
        <item x="1640"/>
        <item x="202"/>
        <item x="47"/>
        <item x="547"/>
        <item x="1752"/>
        <item x="877"/>
        <item x="1501"/>
        <item x="687"/>
        <item x="114"/>
        <item x="1305"/>
        <item x="572"/>
        <item x="1638"/>
        <item x="763"/>
        <item x="1440"/>
        <item x="29"/>
        <item x="1935"/>
        <item x="201"/>
        <item x="1284"/>
        <item x="516"/>
        <item x="900"/>
        <item x="9"/>
        <item x="207"/>
        <item x="580"/>
        <item x="722"/>
        <item x="713"/>
        <item x="1316"/>
        <item x="1717"/>
        <item x="274"/>
        <item x="1147"/>
        <item x="1472"/>
        <item x="1462"/>
        <item x="134"/>
        <item x="280"/>
        <item x="517"/>
        <item x="1459"/>
        <item x="926"/>
        <item x="748"/>
        <item x="1304"/>
        <item x="1086"/>
        <item x="426"/>
        <item x="592"/>
        <item x="1372"/>
        <item x="1468"/>
        <item x="1807"/>
        <item x="1922"/>
        <item x="973"/>
        <item x="1936"/>
        <item x="1605"/>
        <item x="1378"/>
        <item x="152"/>
        <item x="569"/>
        <item x="256"/>
        <item x="1716"/>
        <item x="1387"/>
        <item x="702"/>
        <item x="1660"/>
        <item x="531"/>
        <item x="353"/>
        <item x="785"/>
        <item x="628"/>
        <item x="172"/>
        <item x="770"/>
        <item x="1292"/>
        <item x="551"/>
        <item x="1656"/>
        <item x="386"/>
        <item x="1056"/>
        <item x="88"/>
        <item x="1470"/>
        <item x="70"/>
        <item x="140"/>
        <item x="1837"/>
        <item x="1545"/>
        <item x="1512"/>
        <item x="355"/>
        <item x="3"/>
        <item x="1739"/>
        <item x="1684"/>
        <item x="1510"/>
        <item x="819"/>
        <item x="1929"/>
        <item x="1018"/>
        <item x="1375"/>
        <item x="600"/>
        <item x="55"/>
        <item x="1494"/>
        <item x="1719"/>
        <item x="1506"/>
        <item x="1334"/>
        <item x="1843"/>
        <item x="1188"/>
        <item x="1736"/>
        <item x="889"/>
        <item x="1769"/>
        <item x="501"/>
        <item x="1778"/>
        <item x="696"/>
        <item x="1381"/>
        <item x="279"/>
        <item x="882"/>
        <item x="441"/>
        <item x="1417"/>
        <item x="707"/>
        <item x="1575"/>
        <item x="1800"/>
        <item x="954"/>
        <item x="285"/>
        <item x="1993"/>
        <item x="1882"/>
        <item x="1300"/>
        <item x="1318"/>
        <item x="1682"/>
        <item x="1685"/>
        <item x="310"/>
        <item x="1493"/>
        <item x="408"/>
        <item x="1839"/>
        <item x="265"/>
        <item x="962"/>
        <item x="292"/>
        <item x="6"/>
        <item x="717"/>
        <item x="506"/>
        <item x="1548"/>
        <item x="1590"/>
        <item x="1861"/>
        <item x="1340"/>
        <item x="1080"/>
        <item x="840"/>
        <item x="364"/>
        <item x="109"/>
        <item x="37"/>
        <item x="304"/>
        <item x="766"/>
        <item x="841"/>
        <item x="974"/>
        <item x="605"/>
        <item x="1639"/>
        <item x="178"/>
        <item x="1570"/>
        <item x="350"/>
        <item x="898"/>
        <item x="946"/>
        <item x="640"/>
        <item x="1833"/>
        <item x="476"/>
        <item x="1395"/>
        <item x="396"/>
        <item x="112"/>
        <item x="1425"/>
        <item x="1565"/>
        <item x="564"/>
        <item x="363"/>
        <item x="1067"/>
        <item x="198"/>
        <item x="220"/>
        <item x="271"/>
        <item x="1434"/>
        <item x="1055"/>
        <item x="233"/>
        <item x="555"/>
        <item x="412"/>
        <item x="1373"/>
        <item x="402"/>
        <item x="184"/>
        <item x="629"/>
        <item x="1823"/>
        <item x="1298"/>
        <item x="1396"/>
        <item x="138"/>
        <item x="935"/>
        <item x="1126"/>
        <item x="410"/>
        <item x="1995"/>
        <item x="741"/>
        <item x="503"/>
        <item x="795"/>
        <item x="255"/>
        <item x="1435"/>
        <item x="1356"/>
        <item x="693"/>
        <item x="1896"/>
        <item x="1745"/>
        <item x="1697"/>
        <item x="352"/>
        <item x="417"/>
        <item x="1319"/>
        <item x="1581"/>
        <item x="632"/>
        <item x="623"/>
        <item x="1603"/>
        <item x="1884"/>
        <item x="1255"/>
        <item x="1549"/>
        <item x="757"/>
        <item x="56"/>
        <item x="880"/>
        <item x="1945"/>
        <item x="67"/>
        <item x="851"/>
        <item x="1710"/>
        <item x="753"/>
        <item x="1701"/>
        <item x="405"/>
        <item x="852"/>
        <item x="1998"/>
        <item x="1573"/>
        <item x="1738"/>
        <item x="520"/>
        <item x="1934"/>
        <item x="1889"/>
        <item x="317"/>
        <item x="1156"/>
        <item x="745"/>
        <item x="13"/>
        <item x="674"/>
        <item x="1107"/>
        <item x="826"/>
        <item x="21"/>
        <item x="395"/>
        <item x="814"/>
        <item x="1239"/>
        <item x="1925"/>
        <item x="881"/>
        <item x="878"/>
        <item x="1964"/>
        <item x="160"/>
        <item x="260"/>
        <item x="1053"/>
        <item x="1767"/>
        <item x="617"/>
        <item x="272"/>
        <item x="1951"/>
        <item x="127"/>
        <item x="1184"/>
        <item x="377"/>
        <item x="1006"/>
        <item x="1487"/>
        <item x="845"/>
        <item x="1781"/>
        <item x="1337"/>
        <item x="1703"/>
        <item x="1312"/>
        <item x="734"/>
        <item x="1293"/>
        <item x="913"/>
        <item x="1822"/>
        <item x="38"/>
        <item x="392"/>
        <item x="708"/>
        <item x="1654"/>
        <item x="1376"/>
        <item x="1050"/>
        <item x="1325"/>
        <item x="1112"/>
        <item x="376"/>
        <item x="849"/>
        <item x="862"/>
        <item x="798"/>
        <item x="17"/>
        <item x="1486"/>
        <item x="221"/>
        <item x="205"/>
        <item x="1353"/>
        <item x="1624"/>
        <item x="1556"/>
        <item x="1031"/>
        <item x="340"/>
        <item x="1294"/>
        <item x="175"/>
        <item x="117"/>
        <item x="1806"/>
        <item x="1643"/>
        <item x="1732"/>
        <item x="1770"/>
        <item x="737"/>
        <item x="546"/>
        <item x="1148"/>
        <item x="464"/>
        <item x="413"/>
        <item x="821"/>
        <item x="1772"/>
        <item x="303"/>
        <item x="668"/>
        <item x="808"/>
        <item x="1254"/>
        <item x="1899"/>
        <item x="1428"/>
        <item x="872"/>
        <item x="906"/>
        <item x="1383"/>
        <item x="375"/>
        <item x="87"/>
        <item x="1021"/>
        <item x="447"/>
        <item x="545"/>
        <item x="698"/>
        <item x="1827"/>
        <item x="338"/>
        <item x="1708"/>
        <item x="181"/>
        <item x="936"/>
        <item x="1816"/>
        <item x="1838"/>
        <item x="1152"/>
        <item x="1263"/>
        <item x="1228"/>
        <item x="185"/>
        <item x="804"/>
        <item x="1120"/>
        <item x="427"/>
        <item x="897"/>
        <item x="835"/>
        <item x="1627"/>
        <item x="861"/>
        <item x="1617"/>
        <item x="1385"/>
        <item x="60"/>
        <item x="643"/>
        <item x="1116"/>
        <item x="1044"/>
        <item x="1847"/>
        <item x="1582"/>
        <item x="27"/>
        <item x="1048"/>
        <item x="806"/>
        <item x="1744"/>
        <item x="1761"/>
        <item x="683"/>
        <item x="939"/>
        <item x="1341"/>
        <item x="124"/>
        <item x="910"/>
        <item x="1529"/>
        <item x="720"/>
        <item x="1366"/>
        <item x="1175"/>
        <item x="1602"/>
        <item x="333"/>
        <item x="607"/>
        <item x="886"/>
        <item x="634"/>
        <item x="1919"/>
        <item x="1136"/>
        <item x="1019"/>
        <item x="1442"/>
        <item x="901"/>
        <item x="1196"/>
        <item x="448"/>
        <item x="1283"/>
        <item x="161"/>
        <item x="1583"/>
        <item x="1427"/>
        <item x="1652"/>
        <item x="322"/>
        <item x="905"/>
        <item x="1586"/>
        <item x="1641"/>
        <item x="1190"/>
        <item x="645"/>
        <item x="1025"/>
        <item x="76"/>
        <item x="514"/>
        <item x="1848"/>
        <item x="103"/>
        <item x="1369"/>
        <item x="1390"/>
        <item x="188"/>
        <item x="1287"/>
        <item x="963"/>
        <item x="542"/>
        <item x="1049"/>
        <item x="239"/>
        <item x="442"/>
        <item x="902"/>
        <item x="1058"/>
        <item x="361"/>
        <item x="1966"/>
        <item x="316"/>
        <item x="1096"/>
        <item x="661"/>
        <item x="1771"/>
        <item x="1489"/>
        <item x="1439"/>
        <item x="1824"/>
        <item x="1857"/>
        <item x="1503"/>
        <item x="94"/>
        <item x="565"/>
        <item x="781"/>
        <item x="1609"/>
        <item x="383"/>
        <item x="254"/>
        <item x="1079"/>
        <item x="1297"/>
        <item x="1323"/>
        <item x="77"/>
        <item x="1527"/>
        <item x="111"/>
        <item x="12"/>
        <item x="581"/>
        <item x="1756"/>
        <item x="692"/>
        <item x="1389"/>
        <item x="437"/>
        <item x="10"/>
        <item x="308"/>
        <item x="1266"/>
        <item x="1891"/>
        <item x="540"/>
        <item x="627"/>
        <item x="689"/>
        <item x="684"/>
        <item x="326"/>
        <item x="1295"/>
        <item x="783"/>
        <item x="1281"/>
        <item x="1786"/>
        <item x="1560"/>
        <item x="945"/>
        <item x="1596"/>
        <item x="275"/>
        <item x="1090"/>
        <item x="588"/>
        <item x="1215"/>
        <item x="574"/>
        <item x="388"/>
        <item x="518"/>
        <item x="896"/>
        <item x="1264"/>
        <item x="481"/>
        <item x="675"/>
        <item x="135"/>
        <item x="26"/>
        <item x="1085"/>
        <item x="1513"/>
        <item x="681"/>
        <item x="497"/>
        <item x="227"/>
        <item x="1634"/>
        <item x="867"/>
        <item x="1825"/>
        <item x="173"/>
        <item x="738"/>
        <item x="1481"/>
        <item x="165"/>
        <item x="1358"/>
        <item x="85"/>
        <item x="920"/>
        <item x="691"/>
        <item x="34"/>
        <item x="1742"/>
        <item x="1081"/>
        <item x="743"/>
        <item x="167"/>
        <item x="1600"/>
        <item x="801"/>
        <item x="1063"/>
        <item x="1301"/>
        <item x="1164"/>
        <item x="107"/>
        <item x="1344"/>
        <item x="711"/>
        <item x="1113"/>
        <item x="777"/>
        <item x="493"/>
        <item x="1814"/>
        <item x="1181"/>
        <item x="149"/>
        <item x="694"/>
        <item x="75"/>
        <item x="1257"/>
        <item x="670"/>
        <item x="1853"/>
        <item x="1788"/>
        <item x="1426"/>
        <item x="1897"/>
        <item x="1259"/>
        <item x="562"/>
        <item x="1225"/>
        <item x="1711"/>
        <item x="507"/>
        <item x="1226"/>
        <item x="625"/>
        <item x="595"/>
        <item x="538"/>
        <item x="502"/>
        <item x="130"/>
        <item x="166"/>
        <item x="1817"/>
        <item x="993"/>
        <item x="1511"/>
        <item x="1413"/>
        <item x="663"/>
        <item x="1939"/>
        <item x="1419"/>
        <item x="744"/>
        <item x="792"/>
        <item x="1452"/>
        <item x="1725"/>
        <item x="888"/>
        <item x="1874"/>
        <item x="346"/>
        <item x="1661"/>
        <item x="730"/>
        <item x="1699"/>
        <item x="709"/>
        <item x="141"/>
        <item x="1985"/>
        <item x="295"/>
        <item x="871"/>
        <item x="953"/>
        <item x="1674"/>
        <item x="1362"/>
        <item x="96"/>
        <item x="90"/>
        <item x="1540"/>
        <item x="1438"/>
        <item x="1250"/>
        <item x="979"/>
        <item x="1724"/>
        <item x="478"/>
        <item x="636"/>
        <item x="342"/>
        <item x="515"/>
        <item x="1790"/>
        <item x="1143"/>
        <item x="336"/>
        <item x="89"/>
        <item x="813"/>
        <item x="1691"/>
        <item x="1653"/>
        <item x="281"/>
        <item x="459"/>
        <item x="883"/>
        <item x="1984"/>
        <item x="721"/>
        <item x="1917"/>
        <item x="430"/>
        <item x="1170"/>
        <item x="1285"/>
        <item x="1279"/>
        <item x="790"/>
        <item x="859"/>
        <item x="649"/>
        <item x="291"/>
        <item x="462"/>
        <item x="1071"/>
        <item x="1169"/>
        <item x="1097"/>
        <item x="486"/>
        <item x="1457"/>
        <item x="1579"/>
        <item x="451"/>
        <item x="1938"/>
        <item x="43"/>
        <item x="348"/>
        <item x="985"/>
        <item x="990"/>
        <item x="1645"/>
        <item x="1820"/>
        <item x="1256"/>
        <item x="1407"/>
        <item x="465"/>
        <item x="543"/>
        <item x="578"/>
        <item x="50"/>
        <item x="802"/>
        <item x="1932"/>
        <item x="1706"/>
        <item x="1012"/>
        <item x="219"/>
        <item x="1908"/>
        <item x="1780"/>
        <item x="626"/>
        <item x="1450"/>
        <item x="762"/>
        <item x="1351"/>
        <item x="1783"/>
        <item x="1218"/>
        <item x="1118"/>
        <item x="242"/>
        <item x="1912"/>
        <item x="1644"/>
        <item x="853"/>
        <item x="1338"/>
        <item x="192"/>
        <item x="947"/>
        <item x="1698"/>
        <item x="460"/>
        <item x="704"/>
        <item x="1921"/>
        <item x="710"/>
        <item x="98"/>
        <item x="995"/>
        <item x="667"/>
        <item x="438"/>
        <item x="1091"/>
        <item x="1195"/>
        <item x="1269"/>
        <item x="1235"/>
        <item x="779"/>
        <item x="66"/>
        <item x="1094"/>
        <item x="1368"/>
        <item x="805"/>
        <item x="558"/>
        <item x="535"/>
        <item x="1229"/>
        <item x="510"/>
        <item x="1210"/>
        <item x="156"/>
        <item x="755"/>
        <item x="189"/>
        <item x="1829"/>
        <item x="224"/>
        <item x="309"/>
        <item x="1174"/>
        <item x="830"/>
        <item x="728"/>
        <item x="1040"/>
        <item x="509"/>
        <item x="1537"/>
        <item x="594"/>
        <item x="298"/>
        <item x="567"/>
        <item x="751"/>
        <item x="1408"/>
        <item x="1981"/>
        <item x="639"/>
        <item x="934"/>
        <item x="1930"/>
        <item x="1213"/>
        <item x="1856"/>
        <item x="513"/>
        <item x="1303"/>
        <item x="1604"/>
        <item x="1528"/>
        <item x="552"/>
        <item x="263"/>
        <item x="838"/>
        <item x="1813"/>
        <item x="1057"/>
        <item x="35"/>
        <item x="1145"/>
        <item x="1965"/>
        <item x="471"/>
        <item x="419"/>
        <item x="1614"/>
        <item x="1818"/>
        <item x="385"/>
        <item x="1110"/>
        <item x="407"/>
        <item x="381"/>
        <item x="658"/>
        <item x="1546"/>
        <item x="1290"/>
        <item x="950"/>
        <item x="248"/>
        <item x="895"/>
        <item x="469"/>
        <item x="714"/>
        <item x="1782"/>
        <item x="1424"/>
        <item x="1451"/>
        <item x="302"/>
        <item x="176"/>
        <item x="767"/>
        <item x="145"/>
        <item x="1766"/>
        <item x="250"/>
        <item x="1558"/>
        <item x="14"/>
        <item x="1791"/>
        <item x="1815"/>
        <item x="142"/>
        <item x="293"/>
        <item x="598"/>
        <item x="401"/>
        <item x="1415"/>
        <item x="116"/>
        <item x="1134"/>
        <item x="461"/>
        <item x="968"/>
        <item x="1667"/>
        <item x="544"/>
        <item x="1879"/>
        <item x="1910"/>
        <item x="1655"/>
        <item x="1187"/>
        <item x="1475"/>
        <item x="585"/>
        <item x="749"/>
        <item x="251"/>
        <item x="1062"/>
        <item x="951"/>
        <item x="403"/>
        <item x="891"/>
        <item x="1860"/>
        <item x="700"/>
        <item x="563"/>
        <item x="331"/>
        <item x="372"/>
        <item x="1177"/>
        <item x="1179"/>
        <item x="1202"/>
        <item x="443"/>
        <item x="282"/>
        <item x="454"/>
        <item x="747"/>
        <item x="1562"/>
        <item x="234"/>
        <item x="1916"/>
        <item x="616"/>
        <item x="99"/>
        <item x="1270"/>
        <item x="1102"/>
        <item x="923"/>
        <item x="1902"/>
        <item x="986"/>
        <item x="1679"/>
        <item x="41"/>
        <item x="664"/>
        <item x="725"/>
        <item x="1569"/>
        <item x="479"/>
        <item x="1676"/>
        <item x="1251"/>
        <item x="650"/>
        <item x="1083"/>
        <item x="797"/>
        <item x="129"/>
        <item x="1552"/>
        <item x="1893"/>
        <item x="238"/>
        <item x="433"/>
        <item x="1331"/>
        <item x="602"/>
        <item x="1876"/>
        <item x="28"/>
        <item x="1958"/>
        <item x="1580"/>
        <item x="379"/>
        <item x="1473"/>
        <item x="815"/>
        <item x="1574"/>
        <item x="1342"/>
        <item x="915"/>
        <item x="999"/>
        <item x="1488"/>
        <item x="648"/>
        <item x="1165"/>
        <item x="36"/>
        <item x="300"/>
        <item x="1260"/>
        <item x="1198"/>
        <item x="1811"/>
        <item x="591"/>
        <item x="414"/>
        <item x="1663"/>
        <item x="1326"/>
        <item x="1384"/>
        <item x="938"/>
        <item x="373"/>
        <item x="1865"/>
        <item x="839"/>
        <item x="444"/>
        <item x="1454"/>
        <item x="102"/>
        <item x="411"/>
        <item x="1621"/>
        <item x="1623"/>
        <item x="884"/>
        <item x="961"/>
        <item x="1314"/>
        <item x="719"/>
        <item x="1973"/>
        <item x="1812"/>
        <item x="1129"/>
        <item x="956"/>
        <item x="788"/>
        <item x="557"/>
        <item x="593"/>
        <item x="776"/>
        <item x="858"/>
        <item x="1989"/>
        <item x="1607"/>
        <item x="1731"/>
        <item x="101"/>
        <item x="306"/>
        <item x="1498"/>
        <item x="870"/>
        <item x="1418"/>
        <item x="1955"/>
        <item x="1186"/>
        <item x="829"/>
        <item x="499"/>
        <item x="82"/>
        <item x="136"/>
        <item x="155"/>
        <item x="1333"/>
        <item x="1478"/>
        <item x="703"/>
        <item x="656"/>
        <item x="1355"/>
        <item x="1584"/>
        <item x="1669"/>
        <item x="159"/>
        <item x="622"/>
        <item x="1547"/>
        <item x="456"/>
        <item x="782"/>
        <item x="1135"/>
        <item x="1666"/>
        <item x="1231"/>
        <item x="311"/>
        <item x="1568"/>
        <item x="1980"/>
        <item x="1322"/>
        <item x="1124"/>
        <item x="1903"/>
        <item x="64"/>
        <item x="428"/>
        <item x="1960"/>
        <item x="619"/>
        <item x="742"/>
        <item x="1429"/>
        <item x="1327"/>
        <item x="266"/>
        <item x="971"/>
        <item x="1518"/>
        <item x="1350"/>
        <item x="539"/>
        <item x="1109"/>
        <item x="203"/>
        <item x="197"/>
        <item x="1757"/>
        <item x="1153"/>
        <item x="1306"/>
        <item x="1360"/>
        <item x="1681"/>
        <item x="351"/>
        <item x="1249"/>
        <item x="104"/>
        <item x="1207"/>
        <item x="195"/>
        <item x="1404"/>
        <item x="495"/>
        <item x="1463"/>
        <item x="1431"/>
        <item x="1610"/>
        <item x="1199"/>
        <item x="1508"/>
        <item x="1923"/>
        <item x="724"/>
        <item x="967"/>
        <item x="237"/>
        <item x="1230"/>
        <item x="206"/>
        <item x="690"/>
        <item x="1957"/>
        <item x="147"/>
        <item x="943"/>
        <item x="1302"/>
        <item x="1361"/>
        <item x="1941"/>
        <item x="1223"/>
        <item x="832"/>
        <item x="1140"/>
        <item x="1688"/>
        <item x="1345"/>
        <item x="678"/>
        <item x="1422"/>
        <item x="71"/>
        <item x="789"/>
        <item x="1751"/>
        <item x="1211"/>
        <item x="1357"/>
        <item x="662"/>
        <item x="1064"/>
        <item x="473"/>
        <item x="339"/>
        <item x="1862"/>
        <item x="400"/>
        <item x="1983"/>
        <item x="774"/>
        <item x="273"/>
        <item x="771"/>
        <item x="1108"/>
        <item x="7"/>
        <item x="559"/>
        <item x="1001"/>
        <item x="1043"/>
        <item x="458"/>
        <item x="1519"/>
        <item x="1004"/>
        <item x="1133"/>
        <item x="1999"/>
        <item x="1878"/>
        <item x="736"/>
        <item x="726"/>
        <item x="1521"/>
        <item x="312"/>
        <item x="1009"/>
        <item x="1555"/>
        <item x="604"/>
        <item x="847"/>
        <item x="865"/>
        <item x="294"/>
        <item x="695"/>
        <item x="314"/>
        <item x="1795"/>
        <item x="57"/>
        <item x="344"/>
        <item x="1265"/>
        <item x="536"/>
        <item x="1631"/>
        <item x="1854"/>
        <item x="718"/>
        <item x="215"/>
        <item x="820"/>
        <item x="948"/>
        <item x="1252"/>
        <item x="133"/>
        <item x="1525"/>
        <item x="1619"/>
        <item x="1524"/>
        <item x="389"/>
        <item x="1154"/>
        <item x="1363"/>
        <item x="1007"/>
        <item x="97"/>
        <item x="1740"/>
        <item x="1320"/>
        <item x="8"/>
        <item x="216"/>
        <item x="330"/>
        <item x="365"/>
        <item x="1855"/>
        <item x="908"/>
        <item x="1099"/>
        <item x="1456"/>
        <item x="1517"/>
        <item x="1594"/>
        <item x="1046"/>
        <item x="283"/>
        <item x="976"/>
        <item x="796"/>
        <item x="825"/>
        <item x="606"/>
        <item x="1515"/>
        <item x="1911"/>
        <item x="1271"/>
        <item x="1630"/>
        <item x="1149"/>
        <item x="1313"/>
        <item x="1892"/>
        <item x="1482"/>
        <item x="1168"/>
        <item x="79"/>
        <item x="1209"/>
        <item x="1599"/>
        <item x="1388"/>
        <item x="425"/>
        <item x="62"/>
        <item x="831"/>
        <item x="1106"/>
        <item x="120"/>
        <item x="1374"/>
        <item x="1830"/>
        <item x="1206"/>
        <item x="989"/>
        <item x="483"/>
        <item x="750"/>
        <item x="1466"/>
        <item x="772"/>
        <item x="931"/>
        <item x="1047"/>
        <item x="1483"/>
        <item x="230"/>
        <item x="586"/>
        <item x="1430"/>
        <item x="1671"/>
        <item x="1538"/>
        <item x="1236"/>
        <item x="485"/>
        <item x="457"/>
        <item x="1982"/>
        <item x="1433"/>
        <item x="1132"/>
        <item x="1990"/>
        <item x="1687"/>
        <item x="816"/>
        <item x="434"/>
        <item x="22"/>
        <item x="1826"/>
        <item x="612"/>
        <item x="210"/>
        <item x="1382"/>
        <item x="1792"/>
        <item x="1533"/>
        <item x="1409"/>
        <item x="1023"/>
        <item x="1400"/>
        <item x="368"/>
        <item x="1851"/>
        <item x="2"/>
        <item x="1349"/>
        <item x="1578"/>
        <item x="177"/>
        <item x="1432"/>
        <item x="1613"/>
        <item x="1197"/>
        <item x="554"/>
        <item x="423"/>
        <item x="1122"/>
        <item x="942"/>
        <item x="1103"/>
        <item x="1332"/>
        <item x="1765"/>
        <item x="1867"/>
        <item x="1920"/>
        <item x="885"/>
        <item x="524"/>
        <item x="84"/>
        <item x="1535"/>
        <item x="680"/>
        <item x="549"/>
        <item x="1668"/>
        <item x="1272"/>
        <item x="307"/>
        <item x="1137"/>
        <item x="1176"/>
        <item x="1441"/>
        <item x="673"/>
        <item x="148"/>
        <item x="769"/>
        <item x="1101"/>
        <item x="1868"/>
        <item x="752"/>
        <item x="1978"/>
        <item x="1194"/>
        <item x="1446"/>
        <item x="374"/>
        <item x="723"/>
        <item x="1386"/>
        <item x="1747"/>
        <item x="1317"/>
        <item x="169"/>
        <item x="1464"/>
        <item x="1536"/>
        <item x="1315"/>
        <item x="917"/>
        <item x="422"/>
        <item x="337"/>
        <item x="1758"/>
        <item x="712"/>
        <item x="128"/>
        <item x="146"/>
        <item x="415"/>
        <item x="977"/>
        <item x="1904"/>
        <item x="1119"/>
        <item x="1809"/>
        <item x="1234"/>
        <item x="1871"/>
        <item x="666"/>
        <item x="158"/>
        <item x="1291"/>
        <item x="52"/>
        <item x="864"/>
        <item x="761"/>
        <item x="1730"/>
        <item x="1245"/>
        <item x="1931"/>
        <item x="1010"/>
        <item x="1696"/>
        <item x="1852"/>
        <item x="1994"/>
        <item x="1505"/>
        <item x="657"/>
        <item x="1754"/>
        <item x="1289"/>
        <item x="836"/>
        <item x="589"/>
        <item x="1737"/>
        <item x="1657"/>
        <item x="705"/>
        <item x="1082"/>
        <item x="975"/>
        <item x="1693"/>
        <item x="940"/>
        <item x="1987"/>
        <item x="541"/>
        <item x="1242"/>
        <item x="1808"/>
        <item x="1915"/>
        <item x="786"/>
        <item x="1214"/>
        <item x="59"/>
        <item x="366"/>
        <item x="590"/>
        <item x="1635"/>
        <item x="1598"/>
        <item x="241"/>
        <item x="834"/>
        <item x="482"/>
        <item x="1069"/>
        <item x="1956"/>
        <item x="811"/>
        <item x="349"/>
        <item x="100"/>
        <item x="893"/>
        <item x="259"/>
        <item x="420"/>
        <item x="1683"/>
        <item x="868"/>
        <item x="1618"/>
        <item x="296"/>
        <item x="480"/>
        <item x="511"/>
        <item x="1371"/>
        <item x="1887"/>
        <item x="794"/>
        <item x="1875"/>
        <item x="1977"/>
        <item x="1087"/>
        <item x="435"/>
        <item x="1873"/>
        <item x="601"/>
        <item x="1243"/>
        <item x="391"/>
        <item x="1286"/>
        <item x="843"/>
        <item x="390"/>
        <item x="1774"/>
        <item x="644"/>
        <item x="370"/>
        <item x="1405"/>
        <item x="1559"/>
        <item x="1219"/>
        <item x="1864"/>
        <item x="139"/>
        <item x="1764"/>
        <item x="270"/>
        <item x="51"/>
        <item x="1690"/>
        <item x="492"/>
        <item x="323"/>
        <item x="1203"/>
        <item x="1572"/>
        <item x="754"/>
        <item x="325"/>
        <item x="194"/>
        <item x="1962"/>
        <item x="1060"/>
        <item x="1402"/>
        <item x="846"/>
        <item x="1953"/>
        <item x="1620"/>
        <item x="1670"/>
        <item x="775"/>
        <item x="1520"/>
        <item x="1735"/>
        <item x="1247"/>
        <item x="1491"/>
        <item x="1846"/>
        <item x="1974"/>
        <item x="715"/>
        <item x="186"/>
        <item x="1516"/>
        <item x="235"/>
        <item x="1557"/>
        <item x="686"/>
        <item x="110"/>
        <item x="1608"/>
        <item x="1455"/>
        <item x="299"/>
        <item x="475"/>
        <item x="916"/>
        <item x="1227"/>
        <item x="1273"/>
        <item x="1992"/>
        <item x="869"/>
        <item x="1172"/>
        <item x="894"/>
        <item x="1784"/>
        <item x="1200"/>
        <item x="577"/>
        <item x="1253"/>
        <item x="1947"/>
        <item x="570"/>
        <item x="863"/>
        <item x="1576"/>
        <item x="631"/>
        <item x="624"/>
        <item x="58"/>
        <item x="1959"/>
        <item x="676"/>
        <item x="1123"/>
        <item x="1002"/>
        <item x="1804"/>
        <item x="697"/>
        <item x="1928"/>
        <item x="53"/>
        <item x="614"/>
        <item x="470"/>
        <item x="1629"/>
        <item x="519"/>
        <item x="450"/>
        <item x="115"/>
        <item x="635"/>
        <item x="1497"/>
        <item x="1189"/>
        <item x="1406"/>
        <item x="1479"/>
        <item x="1073"/>
        <item x="367"/>
        <item x="1849"/>
        <item x="504"/>
        <item x="1979"/>
        <item x="1095"/>
        <item x="1359"/>
        <item x="1233"/>
        <item x="784"/>
        <item x="654"/>
        <item x="688"/>
        <item x="1098"/>
        <item x="477"/>
        <item x="746"/>
        <item x="1380"/>
        <item x="1675"/>
        <item x="151"/>
        <item x="345"/>
        <item x="1084"/>
        <item x="768"/>
        <item x="1275"/>
        <item x="949"/>
        <item x="182"/>
        <item x="1237"/>
        <item x="1801"/>
        <item x="83"/>
        <item x="1449"/>
        <item x="1841"/>
        <item x="1963"/>
        <item x="1092"/>
        <item x="812"/>
        <item x="978"/>
        <item x="1988"/>
        <item x="445"/>
        <item x="1038"/>
        <item x="223"/>
        <item x="1076"/>
        <item x="1773"/>
        <item x="170"/>
        <item x="1093"/>
        <item x="1070"/>
        <item x="1890"/>
        <item x="378"/>
        <item x="1161"/>
        <item x="144"/>
        <item x="637"/>
        <item x="615"/>
        <item x="1444"/>
        <item x="1550"/>
        <item x="980"/>
        <item x="1166"/>
        <item x="1803"/>
        <item x="791"/>
        <item x="1015"/>
        <item x="249"/>
        <item x="919"/>
        <item x="1490"/>
        <item x="1216"/>
        <item x="1495"/>
        <item x="1616"/>
        <item x="315"/>
        <item x="571"/>
        <item x="39"/>
        <item x="1664"/>
        <item x="653"/>
        <item x="1946"/>
        <item x="1173"/>
        <item x="1330"/>
        <item x="1078"/>
        <item x="209"/>
        <item x="842"/>
        <item x="30"/>
        <item x="494"/>
        <item x="860"/>
        <item x="1906"/>
        <item x="1834"/>
        <item x="1763"/>
        <item x="439"/>
        <item x="65"/>
        <item x="1650"/>
        <item x="424"/>
        <item x="187"/>
        <item x="1267"/>
        <item x="1787"/>
        <item x="1718"/>
        <item x="48"/>
        <item x="1924"/>
        <item x="268"/>
        <item x="857"/>
        <item x="1821"/>
        <item x="1712"/>
        <item x="1969"/>
        <item x="289"/>
        <item x="371"/>
        <item x="1403"/>
        <item x="1416"/>
        <item x="68"/>
        <item x="1399"/>
        <item x="1436"/>
        <item x="240"/>
        <item x="491"/>
        <item x="24"/>
        <item x="984"/>
        <item x="269"/>
        <item x="347"/>
        <item x="157"/>
        <item x="1709"/>
        <item x="1117"/>
        <item x="765"/>
        <item x="1866"/>
        <item x="61"/>
        <item x="358"/>
        <item x="153"/>
        <item x="1647"/>
        <item x="1052"/>
        <item x="611"/>
        <item x="1844"/>
        <item x="874"/>
        <item x="793"/>
        <item x="4"/>
        <item x="1035"/>
        <item x="799"/>
        <item x="329"/>
        <item x="487"/>
        <item x="16"/>
        <item x="584"/>
        <item x="1448"/>
        <item x="1881"/>
        <item x="932"/>
        <item x="231"/>
        <item x="489"/>
        <item x="1193"/>
        <item x="105"/>
        <item x="987"/>
        <item x="1850"/>
        <item x="393"/>
        <item x="32"/>
        <item x="1339"/>
        <item x="579"/>
        <item x="1437"/>
        <item x="171"/>
        <item x="576"/>
        <item x="1127"/>
        <item x="1034"/>
        <item x="118"/>
        <item x="1648"/>
        <item x="80"/>
        <item x="1895"/>
        <item x="1832"/>
        <item x="909"/>
        <item x="647"/>
        <item x="1543"/>
        <item x="1673"/>
        <item x="1949"/>
        <item x="1593"/>
        <item x="1041"/>
        <item x="1307"/>
        <item x="399"/>
        <item x="1329"/>
        <item x="1713"/>
        <item x="992"/>
        <item x="359"/>
        <item x="621"/>
        <item x="1649"/>
        <item x="1885"/>
        <item x="199"/>
        <item x="1394"/>
        <item x="245"/>
        <item x="42"/>
        <item x="1178"/>
        <item x="573"/>
        <item x="217"/>
        <item x="735"/>
        <item x="733"/>
        <item x="1370"/>
        <item x="1171"/>
        <item x="261"/>
        <item x="1642"/>
        <item x="1059"/>
        <item x="1447"/>
        <item x="818"/>
        <item x="526"/>
        <item x="1721"/>
        <item x="1224"/>
        <item x="73"/>
        <item t="default"/>
      </items>
    </pivotField>
    <pivotField showAll="0"/>
    <pivotField showAll="0"/>
    <pivotField showAll="0"/>
    <pivotField showAll="0"/>
    <pivotField showAll="0"/>
    <pivotField showAll="0"/>
    <pivotField showAll="0"/>
    <pivotField showAll="0"/>
    <pivotField showAll="0"/>
    <pivotField numFmtId="164"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4B6E2C-F69F-43A5-A755-B3EDE6690EFA}" name="PivotTable7" cacheId="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loan approved">
  <location ref="R24:T27"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2"/>
  </colFields>
  <colItems count="2">
    <i>
      <x/>
    </i>
    <i i="1">
      <x v="1"/>
    </i>
  </colItems>
  <dataFields count="2">
    <dataField name="Sum of Income" fld="1" baseField="0" baseItem="1"/>
    <dataField name="Sum of Loan_Amount" fld="0" baseField="0" baseItem="0"/>
  </dataFields>
  <chartFormats count="8">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 chart="0" format="6">
      <pivotArea type="data" outline="0" fieldPosition="0">
        <references count="2">
          <reference field="4294967294" count="1" selected="0">
            <x v="0"/>
          </reference>
          <reference field="2" count="1" selected="0">
            <x v="0"/>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2" count="1" selected="0">
            <x v="0"/>
          </reference>
        </references>
      </pivotArea>
    </chartFormat>
    <chartFormat chart="2" format="13">
      <pivotArea type="data" outline="0" fieldPosition="0">
        <references count="2">
          <reference field="4294967294" count="1" selected="0">
            <x v="0"/>
          </reference>
          <reference field="2" count="1" selected="0">
            <x v="1"/>
          </reference>
        </references>
      </pivotArea>
    </chartFormat>
    <chartFormat chart="2" format="14" series="1">
      <pivotArea type="data" outline="0" fieldPosition="0">
        <references count="1">
          <reference field="4294967294" count="1" selected="0">
            <x v="1"/>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Income"/>
    <pivotHierarchy dragToData="1"/>
    <pivotHierarchy dragToData="1"/>
    <pivotHierarchy dragToData="1"/>
    <pivotHierarchy dragToData="1" caption="Average of Income"/>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esment Table!$A$2:$K$2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89C7FC-196A-4026-B1AF-17FFE565B3F1}" name="PivotTable5" cacheId="5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O23:P24" firstHeaderRow="0" firstDataRow="1" firstDataCol="0"/>
  <pivotFields count="11">
    <pivotField showAll="0"/>
    <pivotField showAll="0"/>
    <pivotField showAll="0"/>
    <pivotField showAll="0"/>
    <pivotField showAll="0"/>
    <pivotField dataField="1" showAll="0"/>
    <pivotField dataField="1" showAll="0"/>
    <pivotField showAll="0">
      <items count="3">
        <item x="0"/>
        <item x="1"/>
        <item t="default"/>
      </items>
    </pivotField>
    <pivotField showAll="0"/>
    <pivotField showAll="0">
      <items count="5">
        <item x="0"/>
        <item x="2"/>
        <item x="1"/>
        <item x="3"/>
        <item t="default"/>
      </items>
    </pivotField>
    <pivotField numFmtId="164" showAll="0"/>
  </pivotFields>
  <rowItems count="1">
    <i/>
  </rowItems>
  <colFields count="1">
    <field x="-2"/>
  </colFields>
  <colItems count="2">
    <i>
      <x/>
    </i>
    <i i="1">
      <x v="1"/>
    </i>
  </colItems>
  <dataFields count="2">
    <dataField name="Sum of Points" fld="6" baseField="0" baseItem="0"/>
    <dataField name="Sum of Years_Employed" fld="5"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CF9BDF-5BB7-467D-A742-F8DC6E441B2C}" name="PivotTable2" cacheId="5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Partterns  For The Credit Score">
  <location ref="L22:M27" firstHeaderRow="1" firstDataRow="1" firstDataCol="1"/>
  <pivotFields count="11">
    <pivotField showAll="0"/>
    <pivotField showAll="0"/>
    <pivotField showAll="0"/>
    <pivotField showAll="0"/>
    <pivotField showAll="0"/>
    <pivotField showAll="0"/>
    <pivotField showAll="0"/>
    <pivotField showAll="0">
      <items count="3">
        <item x="0"/>
        <item x="1"/>
        <item t="default"/>
      </items>
    </pivotField>
    <pivotField dataField="1" showAll="0"/>
    <pivotField axis="axisRow" showAll="0">
      <items count="5">
        <item x="0"/>
        <item x="2"/>
        <item x="1"/>
        <item x="3"/>
        <item t="default"/>
      </items>
    </pivotField>
    <pivotField numFmtId="164" showAll="0"/>
  </pivotFields>
  <rowFields count="1">
    <field x="9"/>
  </rowFields>
  <rowItems count="5">
    <i>
      <x/>
    </i>
    <i>
      <x v="1"/>
    </i>
    <i>
      <x v="2"/>
    </i>
    <i>
      <x v="3"/>
    </i>
    <i t="grand">
      <x/>
    </i>
  </rowItems>
  <colItems count="1">
    <i/>
  </colItems>
  <dataFields count="1">
    <dataField name="Sum of Is Approved"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70F80A-7BD0-4B0A-9363-5F0596409B78}" name="PivotTable12" cacheId="5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Partterns  For The Credit Score">
  <location ref="B22:C27" firstHeaderRow="1" firstDataRow="1" firstDataCol="1"/>
  <pivotFields count="11">
    <pivotField showAll="0"/>
    <pivotField showAll="0"/>
    <pivotField showAll="0"/>
    <pivotField showAll="0"/>
    <pivotField showAll="0"/>
    <pivotField showAll="0"/>
    <pivotField showAll="0"/>
    <pivotField showAll="0">
      <items count="3">
        <item x="0"/>
        <item x="1"/>
        <item t="default"/>
      </items>
    </pivotField>
    <pivotField dataField="1" showAll="0"/>
    <pivotField axis="axisRow" showAll="0">
      <items count="5">
        <item x="0"/>
        <item x="2"/>
        <item x="1"/>
        <item x="3"/>
        <item t="default"/>
      </items>
    </pivotField>
    <pivotField numFmtId="164" showAll="0"/>
  </pivotFields>
  <rowFields count="1">
    <field x="9"/>
  </rowFields>
  <rowItems count="5">
    <i>
      <x/>
    </i>
    <i>
      <x v="1"/>
    </i>
    <i>
      <x v="2"/>
    </i>
    <i>
      <x v="3"/>
    </i>
    <i t="grand">
      <x/>
    </i>
  </rowItems>
  <colItems count="1">
    <i/>
  </colItems>
  <dataFields count="1">
    <dataField name="Sum of Is Approved"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FC1D38-0B4F-4A36-BB45-A3E2BDD7AAF4}" name="PivotTable11" cacheId="5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23:F24" firstHeaderRow="0" firstDataRow="1" firstDataCol="0"/>
  <pivotFields count="11">
    <pivotField showAll="0"/>
    <pivotField showAll="0"/>
    <pivotField showAll="0"/>
    <pivotField showAll="0"/>
    <pivotField showAll="0"/>
    <pivotField dataField="1" showAll="0"/>
    <pivotField dataField="1" showAll="0"/>
    <pivotField showAll="0">
      <items count="3">
        <item x="0"/>
        <item x="1"/>
        <item t="default"/>
      </items>
    </pivotField>
    <pivotField showAll="0"/>
    <pivotField showAll="0">
      <items count="5">
        <item x="0"/>
        <item x="2"/>
        <item x="1"/>
        <item x="3"/>
        <item t="default"/>
      </items>
    </pivotField>
    <pivotField numFmtId="164" showAll="0"/>
  </pivotFields>
  <rowItems count="1">
    <i/>
  </rowItems>
  <colFields count="1">
    <field x="-2"/>
  </colFields>
  <colItems count="2">
    <i>
      <x/>
    </i>
    <i i="1">
      <x v="1"/>
    </i>
  </colItems>
  <dataFields count="2">
    <dataField name="Sum of Points" fld="6" baseField="0" baseItem="0"/>
    <dataField name="Sum of Years_Employed" fld="5"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E62610-6323-4524-8AD7-A6A0C96DEC31}" name="PivotTable10" cacheId="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loan approved">
  <location ref="H24:J27"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2"/>
  </colFields>
  <colItems count="2">
    <i>
      <x/>
    </i>
    <i i="1">
      <x v="1"/>
    </i>
  </colItems>
  <dataFields count="2">
    <dataField name="Sum of Income" fld="1" baseField="0" baseItem="1"/>
    <dataField name="Sum of Loan_Amount" fld="0" baseField="0" baseItem="0"/>
  </dataFields>
  <chartFormats count="8">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 chart="0" format="6">
      <pivotArea type="data" outline="0" fieldPosition="0">
        <references count="2">
          <reference field="4294967294" count="1" selected="0">
            <x v="0"/>
          </reference>
          <reference field="2" count="1" selected="0">
            <x v="0"/>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2" count="1" selected="0">
            <x v="0"/>
          </reference>
        </references>
      </pivotArea>
    </chartFormat>
    <chartFormat chart="2" format="13">
      <pivotArea type="data" outline="0" fieldPosition="0">
        <references count="2">
          <reference field="4294967294" count="1" selected="0">
            <x v="0"/>
          </reference>
          <reference field="2" count="1" selected="0">
            <x v="1"/>
          </reference>
        </references>
      </pivotArea>
    </chartFormat>
    <chartFormat chart="2" format="14" series="1">
      <pivotArea type="data" outline="0" fieldPosition="0">
        <references count="1">
          <reference field="4294967294" count="1" selected="0">
            <x v="1"/>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Income"/>
    <pivotHierarchy dragToData="1"/>
    <pivotHierarchy dragToData="1"/>
    <pivotHierarchy dragToData="1"/>
    <pivotHierarchy dragToData="1" caption="Average of Income"/>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esment Table!$A$2:$K$2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4449CC-EF88-43D9-A0A5-E62D815E98F8}" name="PivotTable1" cacheId="5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artterns  For The Credit Score">
  <location ref="A3:B8" firstHeaderRow="1" firstDataRow="1" firstDataCol="1"/>
  <pivotFields count="11">
    <pivotField showAll="0"/>
    <pivotField showAll="0"/>
    <pivotField showAll="0"/>
    <pivotField showAll="0"/>
    <pivotField showAll="0"/>
    <pivotField showAll="0"/>
    <pivotField showAll="0"/>
    <pivotField showAll="0">
      <items count="3">
        <item x="0"/>
        <item x="1"/>
        <item t="default"/>
      </items>
    </pivotField>
    <pivotField dataField="1" showAll="0"/>
    <pivotField axis="axisRow" showAll="0">
      <items count="5">
        <item x="0"/>
        <item x="2"/>
        <item x="1"/>
        <item x="3"/>
        <item t="default"/>
      </items>
    </pivotField>
    <pivotField numFmtId="164" showAll="0"/>
  </pivotFields>
  <rowFields count="1">
    <field x="9"/>
  </rowFields>
  <rowItems count="5">
    <i>
      <x/>
    </i>
    <i>
      <x v="1"/>
    </i>
    <i>
      <x v="2"/>
    </i>
    <i>
      <x v="3"/>
    </i>
    <i t="grand">
      <x/>
    </i>
  </rowItems>
  <colItems count="1">
    <i/>
  </colItems>
  <dataFields count="1">
    <dataField name="Sum of Is Approved" fld="8"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CF9C83EE-FE91-4974-8CB5-C188051E2245}" sourceName="Name">
  <pivotTables>
    <pivotTable tabId="8" name="PivotTable9"/>
  </pivotTables>
  <data>
    <tabular pivotCacheId="1533571380">
      <items count="2000">
        <i x="1036" s="1"/>
        <i x="95" s="1"/>
        <i x="1898" s="1"/>
        <i x="599" s="1"/>
        <i x="1539" s="1"/>
        <i x="1282" s="1"/>
        <i x="1017" s="1"/>
        <i x="1477" s="1"/>
        <i x="827" s="1"/>
        <i x="1561" s="1"/>
        <i x="669" s="1"/>
        <i x="1367" s="1"/>
        <i x="1003" s="1"/>
        <i x="1401" s="1"/>
        <i x="1914" s="1"/>
        <i x="1942" s="1"/>
        <i x="1212" s="1"/>
        <i x="488" s="1"/>
        <i x="807" s="1"/>
        <i x="824" s="1"/>
        <i x="887" s="1"/>
        <i x="1241" s="1"/>
        <i x="1840" s="1"/>
        <i x="960" s="1"/>
        <i x="933" s="1"/>
        <i x="252" s="1"/>
        <i x="1883" s="1"/>
        <i x="927" s="1"/>
        <i x="474" s="1"/>
        <i x="848" s="1"/>
        <i x="15" s="1"/>
        <i x="1328" s="1"/>
        <i x="1492" s="1"/>
        <i x="1926" s="1"/>
        <i x="982" s="1"/>
        <i x="1595" s="1"/>
        <i x="582" s="1"/>
        <i x="1637" s="1"/>
        <i x="701" s="1"/>
        <i x="904" s="1"/>
        <i x="1065" s="1"/>
        <i x="587" s="1"/>
        <i x="313" s="1"/>
        <i x="1680" s="1"/>
        <i x="1391" s="1"/>
        <i x="613" s="1"/>
        <i x="0" s="1"/>
        <i x="183" s="1"/>
        <i x="431" s="1"/>
        <i x="780" s="1"/>
        <i x="1726" s="1"/>
        <i x="1943" s="1"/>
        <i x="873" s="1"/>
        <i x="320" s="1"/>
        <i x="1185" s="1"/>
        <i x="1467" s="1"/>
        <i x="1288" s="1"/>
        <i x="928" s="1"/>
        <i x="994" s="1"/>
        <i x="1074" s="1"/>
        <i x="449" s="1"/>
        <i x="732" s="1"/>
        <i x="537" s="1"/>
        <i x="1845" s="1"/>
        <i x="1877" s="1"/>
        <i x="866" s="1"/>
        <i x="1588" s="1"/>
        <i x="229" s="1"/>
        <i x="356" s="1"/>
        <i x="1798" s="1"/>
        <i x="1309" s="1"/>
        <i x="706" s="1"/>
        <i x="1461" s="1"/>
        <i x="19" s="1"/>
        <i x="876" s="1"/>
        <i x="1741" s="1"/>
        <i x="760" s="1"/>
        <i x="1142" s="1"/>
        <i x="665" s="1"/>
        <i x="1013" s="1"/>
        <i x="1268" s="1"/>
        <i x="1061" s="1"/>
        <i x="321" s="1"/>
        <i x="1131" s="1"/>
        <i x="222" s="1"/>
        <i x="125" s="1"/>
        <i x="854" s="1"/>
        <i x="1601" s="1"/>
        <i x="1346" s="1"/>
        <i x="603" s="1"/>
        <i x="1423" s="1"/>
        <i x="1180" s="1"/>
        <i x="1182" s="1"/>
        <i x="1551" s="1"/>
        <i x="1705" s="1"/>
        <i x="1689" s="1"/>
        <i x="659" s="1"/>
        <i x="387" s="1"/>
        <i x="1918" s="1"/>
        <i x="44" s="1"/>
        <i x="1208" s="1"/>
        <i x="608" s="1"/>
        <i x="899" s="1"/>
        <i x="1636" s="1"/>
        <i x="1024" s="1"/>
        <i x="828" s="1"/>
        <i x="200" s="1"/>
        <i x="1348" s="1"/>
        <i x="40" s="1"/>
        <i x="1150" s="1"/>
        <i x="453" s="1"/>
        <i x="677" s="1"/>
        <i x="651" s="1"/>
        <i x="1976" s="1"/>
        <i x="225" s="1"/>
        <i x="952" s="1"/>
        <i x="416" s="1"/>
        <i x="1261" s="1"/>
        <i x="69" s="1"/>
        <i x="262" s="1"/>
        <i x="1500" s="1"/>
        <i x="568" s="1"/>
        <i x="671" s="1"/>
        <i x="685" s="1"/>
        <i x="970" s="1"/>
        <i x="1626" s="1"/>
        <i x="11" s="1"/>
        <i x="918" s="1"/>
        <i x="739" s="1"/>
        <i x="983" s="1"/>
        <i x="1077" s="1"/>
        <i x="1504" s="1"/>
        <i x="1162" s="1"/>
        <i x="823" s="1"/>
        <i x="126" s="1"/>
        <i x="1900" s="1"/>
        <i x="228" s="1"/>
        <i x="394" s="1"/>
        <i x="1089" s="1"/>
        <i x="257" s="1"/>
        <i x="1909" s="1"/>
        <i x="522" s="1"/>
        <i x="1026" s="1"/>
        <i x="1888" s="1"/>
        <i x="1125" s="1"/>
        <i x="957" s="1"/>
        <i x="1796" s="1"/>
        <i x="1886" s="1"/>
        <i x="1277" s="1"/>
        <i x="432" s="1"/>
        <i x="652" s="1"/>
        <i x="955" s="1"/>
        <i x="964" s="1"/>
        <i x="328" s="1"/>
        <i x="1659" s="1"/>
        <i x="1151" s="1"/>
        <i x="1729" s="1"/>
        <i x="1658" s="1"/>
        <i x="213" s="1"/>
        <i x="193" s="1"/>
        <i x="1138" s="1"/>
        <i x="1700" s="1"/>
        <i x="560" s="1"/>
        <i x="121" s="1"/>
        <i x="1507" s="1"/>
        <i x="958" s="1"/>
        <i x="1968" s="1"/>
        <i x="123" s="1"/>
        <i x="106" s="1"/>
        <i x="357" s="1"/>
        <i x="609" s="1"/>
        <i x="1347" s="1"/>
        <i x="879" s="1"/>
        <i x="154" s="1"/>
        <i x="276" s="1"/>
        <i x="318" s="1"/>
        <i x="168" s="1"/>
        <i x="1628" s="1"/>
        <i x="398" s="1"/>
        <i x="1033" s="1"/>
        <i x="1789" s="1"/>
        <i x="468" s="1"/>
        <i x="1397" s="1"/>
        <i x="1760" s="1"/>
        <i x="929" s="1"/>
        <i x="1157" s="1"/>
        <i x="1901" s="1"/>
        <i x="1779" s="1"/>
        <i x="583" s="1"/>
        <i x="45" s="1"/>
        <i x="921" s="1"/>
        <i x="490" s="1"/>
        <i x="78" s="1"/>
        <i x="855" s="1"/>
        <i x="1020" s="1"/>
        <i x="1950" s="1"/>
        <i x="1167" s="1"/>
        <i x="498" s="1"/>
        <i x="907" s="1"/>
        <i x="1753" s="1"/>
        <i x="1029" s="1"/>
        <i x="1720" s="1"/>
        <i x="1220" s="1"/>
        <i x="496" s="1"/>
        <i x="324" s="1"/>
        <i x="800" s="1"/>
        <i x="1831" s="1"/>
        <i x="484" s="1"/>
        <i x="163" s="1"/>
        <i x="81" s="1"/>
        <i x="1088" s="1"/>
        <i x="290" s="1"/>
        <i x="996" s="1"/>
        <i x="1232" s="1"/>
        <i x="429" s="1"/>
        <i x="297" s="1"/>
        <i x="305" s="1"/>
        <i x="150" s="1"/>
        <i x="1" s="1"/>
        <i x="1592" s="1"/>
        <i x="1471" s="1"/>
        <i x="1997" s="1"/>
        <i x="530" s="1"/>
        <i x="850" s="1"/>
        <i x="1458" s="1"/>
        <i x="1591" s="1"/>
        <i x="406" s="1"/>
        <i x="1564" s="1"/>
        <i x="1008" s="1"/>
        <i x="890" s="1"/>
        <i x="1343" s="1"/>
        <i x="1130" s="1"/>
        <i x="162" s="1"/>
        <i x="1163" s="1"/>
        <i x="875" s="1"/>
        <i x="512" s="1"/>
        <i x="505" s="1"/>
        <i x="277" s="1"/>
        <i x="1531" s="1"/>
        <i x="179" s="1"/>
        <i x="63" s="1"/>
        <i x="1054" s="1"/>
        <i x="1502" s="1"/>
        <i x="284" s="1"/>
        <i x="218" s="1"/>
        <i x="618" s="1"/>
        <i x="1587" s="1"/>
        <i x="404" s="1"/>
        <i x="731" s="1"/>
        <i x="1776" s="1"/>
        <i x="922" s="1"/>
        <i x="1948" s="1"/>
        <i x="33" s="1"/>
        <i x="500" s="1"/>
        <i x="1633" s="1"/>
        <i x="1221" s="1"/>
        <i x="630" s="1"/>
        <i x="1961" s="1"/>
        <i x="1597" s="1"/>
        <i x="944" s="1"/>
        <i x="1665" s="1"/>
        <i x="655" s="1"/>
        <i x="93" s="1"/>
        <i x="278" s="1"/>
        <i x="1453" s="1"/>
        <i x="455" s="1"/>
        <i x="553" s="1"/>
        <i x="1615" s="1"/>
        <i x="548" s="1"/>
        <i x="1967" s="1"/>
        <i x="1114" s="1"/>
        <i x="1971" s="1"/>
        <i x="1662" s="1"/>
        <i x="1728" s="1"/>
        <i x="809" s="1"/>
        <i x="699" s="1"/>
        <i x="822" s="1"/>
        <i x="418" s="1"/>
        <i x="334" s="1"/>
        <i x="1768" s="1"/>
        <i x="1746" s="1"/>
        <i x="527" s="1"/>
        <i x="833" s="1"/>
        <i x="1222" s="1"/>
        <i x="1913" s="1"/>
        <i x="988" s="1"/>
        <i x="119" s="1"/>
        <i x="232" s="1"/>
        <i x="1075" s="1"/>
        <i x="1514" s="1"/>
        <i x="1954" s="1"/>
        <i x="319" s="1"/>
        <i x="1927" s="1"/>
        <i x="1686" s="1"/>
        <i x="1970" s="1"/>
        <i x="1589" s="1"/>
        <i x="837" s="1"/>
        <i x="382" s="1"/>
        <i x="1944" s="1"/>
        <i x="20" s="1"/>
        <i x="1836" s="1"/>
        <i x="1068" s="1"/>
        <i x="25" s="1"/>
        <i x="642" s="1"/>
        <i x="1872" s="1"/>
        <i x="856" s="1"/>
        <i x="204" s="1"/>
        <i x="472" s="1"/>
        <i x="409" s="1"/>
        <i x="729" s="1"/>
        <i x="550" s="1"/>
        <i x="1105" s="1"/>
        <i x="924" s="1"/>
        <i x="911" s="1"/>
        <i x="174" s="1"/>
        <i x="1296" s="1"/>
        <i x="521" s="1"/>
        <i x="1027" s="1"/>
        <i x="286" s="1"/>
        <i x="1205" s="1"/>
        <i x="1160" s="1"/>
        <i x="1940" s="1"/>
        <i x="287" s="1"/>
        <i x="532" s="1"/>
        <i x="679" s="1"/>
        <i x="1310" s="1"/>
        <i x="1785" s="1"/>
        <i x="288" s="1"/>
        <i x="844" s="1"/>
        <i x="727" s="1"/>
        <i x="1646" s="1"/>
        <i x="1496" s="1"/>
        <i x="1476" s="1"/>
        <i x="1045" s="1"/>
        <i x="1707" s="1"/>
        <i x="1014" s="1"/>
        <i x="1793" s="1"/>
        <i x="1022" s="1"/>
        <i x="1567" s="1"/>
        <i x="1975" s="1"/>
        <i x="778" s="1"/>
        <i x="892" s="1"/>
        <i x="1104" s="1"/>
        <i x="46" s="1"/>
        <i x="1262" s="1"/>
        <i x="1541" s="1"/>
        <i x="1276" s="1"/>
        <i x="1158" s="1"/>
        <i x="1485" s="1"/>
        <i x="998" s="1"/>
        <i x="1554" s="1"/>
        <i x="1484" s="1"/>
        <i x="1377" s="1"/>
        <i x="1802" s="1"/>
        <i x="1727" s="1"/>
        <i x="1858" s="1"/>
        <i x="1443" s="1"/>
        <i x="91" s="1"/>
        <i x="1905" s="1"/>
        <i x="556" s="1"/>
        <i x="226" s="1"/>
        <i x="362" s="1"/>
        <i x="1762" s="1"/>
        <i x="1392" s="1"/>
        <i x="1553" s="1"/>
        <i x="1352" s="1"/>
        <i x="597" s="1"/>
        <i x="1759" s="1"/>
        <i x="1274" s="1"/>
        <i x="1042" s="1"/>
        <i x="1039" s="1"/>
        <i x="1632" s="1"/>
        <i x="1248" s="1"/>
        <i x="1258" s="1"/>
        <i x="1523" s="1"/>
        <i x="1321" s="1"/>
        <i x="787" s="1"/>
        <i x="1066" s="1"/>
        <i x="436" s="1"/>
        <i x="991" s="1"/>
        <i x="1585" s="1"/>
        <i x="1393" s="1"/>
        <i x="1111" s="1"/>
        <i x="446" s="1"/>
        <i x="1799" s="1"/>
        <i x="380" s="1"/>
        <i x="1532" s="1"/>
        <i x="1121" s="1"/>
        <i x="1991" s="1"/>
        <i x="1859" s="1"/>
        <i x="1625" s="1"/>
        <i x="575" s="1"/>
        <i x="1217" s="1"/>
        <i x="566" s="1"/>
        <i x="1775" s="1"/>
        <i x="1797" s="1"/>
        <i x="1465" s="1"/>
        <i x="981" s="1"/>
        <i x="1308" s="1"/>
        <i x="1526" s="1"/>
        <i x="1420" s="1"/>
        <i x="1612" s="1"/>
        <i x="1201" s="1"/>
        <i x="1100" s="1"/>
        <i x="1972" s="1"/>
        <i x="180" s="1"/>
        <i x="211" s="1"/>
        <i x="1115" s="1"/>
        <i x="1016" s="1"/>
        <i x="803" s="1"/>
        <i x="528" s="1"/>
        <i x="452" s="1"/>
        <i x="533" s="1"/>
        <i x="1144" s="1"/>
        <i x="243" s="1"/>
        <i x="1530" s="1"/>
        <i x="1246" s="1"/>
        <i x="969" s="1"/>
        <i x="246" s="1"/>
        <i x="108" s="1"/>
        <i x="1278" s="1"/>
        <i x="1032" s="1"/>
        <i x="758" s="1"/>
        <i x="525" s="1"/>
        <i x="74" s="1"/>
        <i x="966" s="1"/>
        <i x="1051" s="1"/>
        <i x="1835" s="1"/>
        <i x="421" s="1"/>
        <i x="1000" s="1"/>
        <i x="466" s="1"/>
        <i x="143" s="1"/>
        <i x="1544" s="1"/>
        <i x="1469" s="1"/>
        <i x="1412" s="1"/>
        <i x="1894" s="1"/>
        <i x="463" s="1"/>
        <i x="1734" s="1"/>
        <i x="523" s="1"/>
        <i x="937" s="1"/>
        <i x="1819" s="1"/>
        <i x="1952" s="1"/>
        <i x="49" s="1"/>
        <i x="1299" s="1"/>
        <i x="214" s="1"/>
        <i x="817" s="1"/>
        <i x="354" s="1"/>
        <i x="1870" s="1"/>
        <i x="1986" s="1"/>
        <i x="164" s="1"/>
        <i x="92" s="1"/>
        <i x="1805" s="1"/>
        <i x="965" s="1"/>
        <i x="212" s="1"/>
        <i x="253" s="1"/>
        <i x="1421" s="1"/>
        <i x="1474" s="1"/>
        <i x="1146" s="1"/>
        <i x="1542" s="1"/>
        <i x="1192" s="1"/>
        <i x="190" s="1"/>
        <i x="1702" s="1"/>
        <i x="764" s="1"/>
        <i x="72" s="1"/>
        <i x="925" s="1"/>
        <i x="360" s="1"/>
        <i x="1577" s="1"/>
        <i x="1748" s="1"/>
        <i x="1159" s="1"/>
        <i x="914" s="1"/>
        <i x="440" s="1"/>
        <i x="1240" s="1"/>
        <i x="930" s="1"/>
        <i x="1365" s="1"/>
        <i x="137" s="1"/>
        <i x="258" s="1"/>
        <i x="1354" s="1"/>
        <i x="1937" s="1"/>
        <i x="1445" s="1"/>
        <i x="682" s="1"/>
        <i x="1011" s="1"/>
        <i x="327" s="1"/>
        <i x="397" s="1"/>
        <i x="941" s="1"/>
        <i x="1794" s="1"/>
        <i x="1460" s="1"/>
        <i x="5" s="1"/>
        <i x="86" s="1"/>
        <i x="1755" s="1"/>
        <i x="1677" s="1"/>
        <i x="1534" s="1"/>
        <i x="1410" s="1"/>
        <i x="18" s="1"/>
        <i x="1311" s="1"/>
        <i x="756" s="1"/>
        <i x="1028" s="1"/>
        <i x="247" s="1"/>
        <i x="1722" s="1"/>
        <i x="1183" s="1"/>
        <i x="113" s="1"/>
        <i x="335" s="1"/>
        <i x="23" s="1"/>
        <i x="620" s="1"/>
        <i x="1379" s="1"/>
        <i x="1869" s="1"/>
        <i x="529" s="1"/>
        <i x="716" s="1"/>
        <i x="773" s="1"/>
        <i x="467" s="1"/>
        <i x="1499" s="1"/>
        <i x="1571" s="1"/>
        <i x="1907" s="1"/>
        <i x="959" s="1"/>
        <i x="1723" s="1"/>
        <i x="1335" s="1"/>
        <i x="646" s="1"/>
        <i x="369" s="1"/>
        <i x="561" s="1"/>
        <i x="1810" s="1"/>
        <i x="1863" s="1"/>
        <i x="1750" s="1"/>
        <i x="1364" s="1"/>
        <i x="633" s="1"/>
        <i x="1411" s="1"/>
        <i x="997" s="1"/>
        <i x="1828" s="1"/>
        <i x="1204" s="1"/>
        <i x="1714" s="1"/>
        <i x="1128" s="1"/>
        <i x="1678" s="1"/>
        <i x="1695" s="1"/>
        <i x="740" s="1"/>
        <i x="1280" s="1"/>
        <i x="1414" s="1"/>
        <i x="1611" s="1"/>
        <i x="31" s="1"/>
        <i x="122" s="1"/>
        <i x="1141" s="1"/>
        <i x="1749" s="1"/>
        <i x="264" s="1"/>
        <i x="267" s="1"/>
        <i x="1244" s="1"/>
        <i x="54" s="1"/>
        <i x="343" s="1"/>
        <i x="1933" s="1"/>
        <i x="1566" s="1"/>
        <i x="1606" s="1"/>
        <i x="1842" s="1"/>
        <i x="1996" s="1"/>
        <i x="1651" s="1"/>
        <i x="332" s="1"/>
        <i x="759" s="1"/>
        <i x="1622" s="1"/>
        <i x="132" s="1"/>
        <i x="610" s="1"/>
        <i x="1238" s="1"/>
        <i x="1139" s="1"/>
        <i x="131" s="1"/>
        <i x="1030" s="1"/>
        <i x="1155" s="1"/>
        <i x="1743" s="1"/>
        <i x="236" s="1"/>
        <i x="1191" s="1"/>
        <i x="1522" s="1"/>
        <i x="638" s="1"/>
        <i x="196" s="1"/>
        <i x="244" s="1"/>
        <i x="1715" s="1"/>
        <i x="341" s="1"/>
        <i x="1509" s="1"/>
        <i x="1777" s="1"/>
        <i x="1398" s="1"/>
        <i x="1704" s="1"/>
        <i x="660" s="1"/>
        <i x="1672" s="1"/>
        <i x="1005" s="1"/>
        <i x="641" s="1"/>
        <i x="672" s="1"/>
        <i x="191" s="1"/>
        <i x="903" s="1"/>
        <i x="384" s="1"/>
        <i x="596" s="1"/>
        <i x="508" s="1"/>
        <i x="1072" s="1"/>
        <i x="301" s="1"/>
        <i x="1880" s="1"/>
        <i x="1480" s="1"/>
        <i x="1694" s="1"/>
        <i x="972" s="1"/>
        <i x="912" s="1"/>
        <i x="1336" s="1"/>
        <i x="534" s="1"/>
        <i x="1733" s="1"/>
        <i x="1324" s="1"/>
        <i x="810" s="1"/>
        <i x="208" s="1"/>
        <i x="1692" s="1"/>
        <i x="1037" s="1"/>
        <i x="1563" s="1"/>
        <i x="1640" s="1"/>
        <i x="202" s="1"/>
        <i x="47" s="1"/>
        <i x="547" s="1"/>
        <i x="1752" s="1"/>
        <i x="877" s="1"/>
        <i x="1501" s="1"/>
        <i x="687" s="1"/>
        <i x="114" s="1"/>
        <i x="1305" s="1"/>
        <i x="572" s="1"/>
        <i x="1638" s="1"/>
        <i x="763" s="1"/>
        <i x="1440" s="1"/>
        <i x="29" s="1"/>
        <i x="1935" s="1"/>
        <i x="201" s="1"/>
        <i x="1284" s="1"/>
        <i x="516" s="1"/>
        <i x="900" s="1"/>
        <i x="9" s="1"/>
        <i x="207" s="1"/>
        <i x="580" s="1"/>
        <i x="722" s="1"/>
        <i x="713" s="1"/>
        <i x="1316" s="1"/>
        <i x="1717" s="1"/>
        <i x="274" s="1"/>
        <i x="1147" s="1"/>
        <i x="1472" s="1"/>
        <i x="1462" s="1"/>
        <i x="134" s="1"/>
        <i x="280" s="1"/>
        <i x="517" s="1"/>
        <i x="1459" s="1"/>
        <i x="926" s="1"/>
        <i x="748" s="1"/>
        <i x="1304" s="1"/>
        <i x="1086" s="1"/>
        <i x="426" s="1"/>
        <i x="592" s="1"/>
        <i x="1372" s="1"/>
        <i x="1468" s="1"/>
        <i x="1807" s="1"/>
        <i x="1922" s="1"/>
        <i x="973" s="1"/>
        <i x="1936" s="1"/>
        <i x="1605" s="1"/>
        <i x="1378" s="1"/>
        <i x="152" s="1"/>
        <i x="569" s="1"/>
        <i x="256" s="1"/>
        <i x="1716" s="1"/>
        <i x="1387" s="1"/>
        <i x="702" s="1"/>
        <i x="1660" s="1"/>
        <i x="531" s="1"/>
        <i x="353" s="1"/>
        <i x="785" s="1"/>
        <i x="628" s="1"/>
        <i x="172" s="1"/>
        <i x="770" s="1"/>
        <i x="1292" s="1"/>
        <i x="551" s="1"/>
        <i x="1656" s="1"/>
        <i x="386" s="1"/>
        <i x="1056" s="1"/>
        <i x="88" s="1"/>
        <i x="1470" s="1"/>
        <i x="70" s="1"/>
        <i x="140" s="1"/>
        <i x="1837" s="1"/>
        <i x="1545" s="1"/>
        <i x="1512" s="1"/>
        <i x="355" s="1"/>
        <i x="3" s="1"/>
        <i x="1739" s="1"/>
        <i x="1684" s="1"/>
        <i x="1510" s="1"/>
        <i x="819" s="1"/>
        <i x="1929" s="1"/>
        <i x="1018" s="1"/>
        <i x="1375" s="1"/>
        <i x="600" s="1"/>
        <i x="55" s="1"/>
        <i x="1494" s="1"/>
        <i x="1719" s="1"/>
        <i x="1506" s="1"/>
        <i x="1334" s="1"/>
        <i x="1843" s="1"/>
        <i x="1188" s="1"/>
        <i x="1736" s="1"/>
        <i x="889" s="1"/>
        <i x="1769" s="1"/>
        <i x="501" s="1"/>
        <i x="1778" s="1"/>
        <i x="696" s="1"/>
        <i x="1381" s="1"/>
        <i x="279" s="1"/>
        <i x="882" s="1"/>
        <i x="441" s="1"/>
        <i x="1417" s="1"/>
        <i x="707" s="1"/>
        <i x="1575" s="1"/>
        <i x="1800" s="1"/>
        <i x="954" s="1"/>
        <i x="285" s="1"/>
        <i x="1993" s="1"/>
        <i x="1882" s="1"/>
        <i x="1300" s="1"/>
        <i x="1318" s="1"/>
        <i x="1682" s="1"/>
        <i x="1685" s="1"/>
        <i x="310" s="1"/>
        <i x="1493" s="1"/>
        <i x="408" s="1"/>
        <i x="1839" s="1"/>
        <i x="265" s="1"/>
        <i x="962" s="1"/>
        <i x="292" s="1"/>
        <i x="6" s="1"/>
        <i x="717" s="1"/>
        <i x="506" s="1"/>
        <i x="1548" s="1"/>
        <i x="1590" s="1"/>
        <i x="1861" s="1"/>
        <i x="1340" s="1"/>
        <i x="1080" s="1"/>
        <i x="840" s="1"/>
        <i x="364" s="1"/>
        <i x="109" s="1"/>
        <i x="37" s="1"/>
        <i x="304" s="1"/>
        <i x="766" s="1"/>
        <i x="841" s="1"/>
        <i x="974" s="1"/>
        <i x="605" s="1"/>
        <i x="1639" s="1"/>
        <i x="178" s="1"/>
        <i x="1570" s="1"/>
        <i x="350" s="1"/>
        <i x="898" s="1"/>
        <i x="946" s="1"/>
        <i x="640" s="1"/>
        <i x="1833" s="1"/>
        <i x="476" s="1"/>
        <i x="1395" s="1"/>
        <i x="396" s="1"/>
        <i x="112" s="1"/>
        <i x="1425" s="1"/>
        <i x="1565" s="1"/>
        <i x="564" s="1"/>
        <i x="363" s="1"/>
        <i x="1067" s="1"/>
        <i x="198" s="1"/>
        <i x="220" s="1"/>
        <i x="271" s="1"/>
        <i x="1434" s="1"/>
        <i x="1055" s="1"/>
        <i x="233" s="1"/>
        <i x="555" s="1"/>
        <i x="412" s="1"/>
        <i x="1373" s="1"/>
        <i x="402" s="1"/>
        <i x="184" s="1"/>
        <i x="629" s="1"/>
        <i x="1823" s="1"/>
        <i x="1298" s="1"/>
        <i x="1396" s="1"/>
        <i x="138" s="1"/>
        <i x="935" s="1"/>
        <i x="1126" s="1"/>
        <i x="410" s="1"/>
        <i x="1995" s="1"/>
        <i x="741" s="1"/>
        <i x="503" s="1"/>
        <i x="795" s="1"/>
        <i x="255" s="1"/>
        <i x="1435" s="1"/>
        <i x="1356" s="1"/>
        <i x="693" s="1"/>
        <i x="1896" s="1"/>
        <i x="1745" s="1"/>
        <i x="1697" s="1"/>
        <i x="352" s="1"/>
        <i x="417" s="1"/>
        <i x="1319" s="1"/>
        <i x="1581" s="1"/>
        <i x="632" s="1"/>
        <i x="623" s="1"/>
        <i x="1603" s="1"/>
        <i x="1884" s="1"/>
        <i x="1255" s="1"/>
        <i x="1549" s="1"/>
        <i x="757" s="1"/>
        <i x="56" s="1"/>
        <i x="880" s="1"/>
        <i x="1945" s="1"/>
        <i x="67" s="1"/>
        <i x="851" s="1"/>
        <i x="1710" s="1"/>
        <i x="753" s="1"/>
        <i x="1701" s="1"/>
        <i x="405" s="1"/>
        <i x="852" s="1"/>
        <i x="1998" s="1"/>
        <i x="1573" s="1"/>
        <i x="1738" s="1"/>
        <i x="520" s="1"/>
        <i x="1934" s="1"/>
        <i x="1889" s="1"/>
        <i x="317" s="1"/>
        <i x="1156" s="1"/>
        <i x="745" s="1"/>
        <i x="13" s="1"/>
        <i x="674" s="1"/>
        <i x="1107" s="1"/>
        <i x="826" s="1"/>
        <i x="21" s="1"/>
        <i x="395" s="1"/>
        <i x="814" s="1"/>
        <i x="1239" s="1"/>
        <i x="1925" s="1"/>
        <i x="881" s="1"/>
        <i x="878" s="1"/>
        <i x="1964" s="1"/>
        <i x="160" s="1"/>
        <i x="260" s="1"/>
        <i x="1053" s="1"/>
        <i x="1767" s="1"/>
        <i x="617" s="1"/>
        <i x="272" s="1"/>
        <i x="1951" s="1"/>
        <i x="127" s="1"/>
        <i x="1184" s="1"/>
        <i x="377" s="1"/>
        <i x="1006" s="1"/>
        <i x="1487" s="1"/>
        <i x="845" s="1"/>
        <i x="1781" s="1"/>
        <i x="1337" s="1"/>
        <i x="1703" s="1"/>
        <i x="1312" s="1"/>
        <i x="734" s="1"/>
        <i x="1293" s="1"/>
        <i x="913" s="1"/>
        <i x="1822" s="1"/>
        <i x="38" s="1"/>
        <i x="392" s="1"/>
        <i x="708" s="1"/>
        <i x="1654" s="1"/>
        <i x="1376" s="1"/>
        <i x="1050" s="1"/>
        <i x="1325" s="1"/>
        <i x="1112" s="1"/>
        <i x="376" s="1"/>
        <i x="849" s="1"/>
        <i x="862" s="1"/>
        <i x="798" s="1"/>
        <i x="17" s="1"/>
        <i x="1486" s="1"/>
        <i x="221" s="1"/>
        <i x="205" s="1"/>
        <i x="1353" s="1"/>
        <i x="1624" s="1"/>
        <i x="1556" s="1"/>
        <i x="1031" s="1"/>
        <i x="340" s="1"/>
        <i x="1294" s="1"/>
        <i x="175" s="1"/>
        <i x="117" s="1"/>
        <i x="1806" s="1"/>
        <i x="1643" s="1"/>
        <i x="1732" s="1"/>
        <i x="1770" s="1"/>
        <i x="737" s="1"/>
        <i x="546" s="1"/>
        <i x="1148" s="1"/>
        <i x="464" s="1"/>
        <i x="413" s="1"/>
        <i x="821" s="1"/>
        <i x="1772" s="1"/>
        <i x="303" s="1"/>
        <i x="668" s="1"/>
        <i x="808" s="1"/>
        <i x="1254" s="1"/>
        <i x="1899" s="1"/>
        <i x="1428" s="1"/>
        <i x="872" s="1"/>
        <i x="906" s="1"/>
        <i x="1383" s="1"/>
        <i x="375" s="1"/>
        <i x="87" s="1"/>
        <i x="1021" s="1"/>
        <i x="447" s="1"/>
        <i x="545" s="1"/>
        <i x="698" s="1"/>
        <i x="1827" s="1"/>
        <i x="338" s="1"/>
        <i x="1708" s="1"/>
        <i x="181" s="1"/>
        <i x="936" s="1"/>
        <i x="1816" s="1"/>
        <i x="1838" s="1"/>
        <i x="1152" s="1"/>
        <i x="1263" s="1"/>
        <i x="1228" s="1"/>
        <i x="185" s="1"/>
        <i x="804" s="1"/>
        <i x="1120" s="1"/>
        <i x="427" s="1"/>
        <i x="897" s="1"/>
        <i x="835" s="1"/>
        <i x="1627" s="1"/>
        <i x="861" s="1"/>
        <i x="1617" s="1"/>
        <i x="1385" s="1"/>
        <i x="60" s="1"/>
        <i x="643" s="1"/>
        <i x="1116" s="1"/>
        <i x="1044" s="1"/>
        <i x="1847" s="1"/>
        <i x="1582" s="1"/>
        <i x="27" s="1"/>
        <i x="1048" s="1"/>
        <i x="806" s="1"/>
        <i x="1744" s="1"/>
        <i x="1761" s="1"/>
        <i x="683" s="1"/>
        <i x="939" s="1"/>
        <i x="1341" s="1"/>
        <i x="124" s="1"/>
        <i x="910" s="1"/>
        <i x="1529" s="1"/>
        <i x="720" s="1"/>
        <i x="1366" s="1"/>
        <i x="1175" s="1"/>
        <i x="1602" s="1"/>
        <i x="333" s="1"/>
        <i x="607" s="1"/>
        <i x="886" s="1"/>
        <i x="634" s="1"/>
        <i x="1919" s="1"/>
        <i x="1136" s="1"/>
        <i x="1019" s="1"/>
        <i x="1442" s="1"/>
        <i x="901" s="1"/>
        <i x="1196" s="1"/>
        <i x="448" s="1"/>
        <i x="1283" s="1"/>
        <i x="161" s="1"/>
        <i x="1583" s="1"/>
        <i x="1427" s="1"/>
        <i x="1652" s="1"/>
        <i x="322" s="1"/>
        <i x="905" s="1"/>
        <i x="1586" s="1"/>
        <i x="1641" s="1"/>
        <i x="1190" s="1"/>
        <i x="645" s="1"/>
        <i x="1025" s="1"/>
        <i x="76" s="1"/>
        <i x="514" s="1"/>
        <i x="1848" s="1"/>
        <i x="103" s="1"/>
        <i x="1369" s="1"/>
        <i x="1390" s="1"/>
        <i x="188" s="1"/>
        <i x="1287" s="1"/>
        <i x="963" s="1"/>
        <i x="542" s="1"/>
        <i x="1049" s="1"/>
        <i x="239" s="1"/>
        <i x="442" s="1"/>
        <i x="902" s="1"/>
        <i x="1058" s="1"/>
        <i x="361" s="1"/>
        <i x="1966" s="1"/>
        <i x="316" s="1"/>
        <i x="1096" s="1"/>
        <i x="661" s="1"/>
        <i x="1771" s="1"/>
        <i x="1489" s="1"/>
        <i x="1439" s="1"/>
        <i x="1824" s="1"/>
        <i x="1857" s="1"/>
        <i x="1503" s="1"/>
        <i x="94" s="1"/>
        <i x="565" s="1"/>
        <i x="781" s="1"/>
        <i x="1609" s="1"/>
        <i x="383" s="1"/>
        <i x="254" s="1"/>
        <i x="1079" s="1"/>
        <i x="1297" s="1"/>
        <i x="1323" s="1"/>
        <i x="77" s="1"/>
        <i x="1527" s="1"/>
        <i x="111" s="1"/>
        <i x="12" s="1"/>
        <i x="581" s="1"/>
        <i x="1756" s="1"/>
        <i x="692" s="1"/>
        <i x="1389" s="1"/>
        <i x="437" s="1"/>
        <i x="10" s="1"/>
        <i x="308" s="1"/>
        <i x="1266" s="1"/>
        <i x="1891" s="1"/>
        <i x="540" s="1"/>
        <i x="627" s="1"/>
        <i x="689" s="1"/>
        <i x="684" s="1"/>
        <i x="326" s="1"/>
        <i x="1295" s="1"/>
        <i x="783" s="1"/>
        <i x="1281" s="1"/>
        <i x="1786" s="1"/>
        <i x="1560" s="1"/>
        <i x="945" s="1"/>
        <i x="1596" s="1"/>
        <i x="275" s="1"/>
        <i x="1090" s="1"/>
        <i x="588" s="1"/>
        <i x="1215" s="1"/>
        <i x="574" s="1"/>
        <i x="388" s="1"/>
        <i x="518" s="1"/>
        <i x="896" s="1"/>
        <i x="1264" s="1"/>
        <i x="481" s="1"/>
        <i x="675" s="1"/>
        <i x="135" s="1"/>
        <i x="26" s="1"/>
        <i x="1085" s="1"/>
        <i x="1513" s="1"/>
        <i x="681" s="1"/>
        <i x="497" s="1"/>
        <i x="227" s="1"/>
        <i x="1634" s="1"/>
        <i x="867" s="1"/>
        <i x="1825" s="1"/>
        <i x="173" s="1"/>
        <i x="738" s="1"/>
        <i x="1481" s="1"/>
        <i x="165" s="1"/>
        <i x="1358" s="1"/>
        <i x="85" s="1"/>
        <i x="920" s="1"/>
        <i x="691" s="1"/>
        <i x="34" s="1"/>
        <i x="1742" s="1"/>
        <i x="1081" s="1"/>
        <i x="743" s="1"/>
        <i x="167" s="1"/>
        <i x="1600" s="1"/>
        <i x="801" s="1"/>
        <i x="1063" s="1"/>
        <i x="1301" s="1"/>
        <i x="1164" s="1"/>
        <i x="107" s="1"/>
        <i x="1344" s="1"/>
        <i x="711" s="1"/>
        <i x="1113" s="1"/>
        <i x="777" s="1"/>
        <i x="493" s="1"/>
        <i x="1814" s="1"/>
        <i x="1181" s="1"/>
        <i x="149" s="1"/>
        <i x="694" s="1"/>
        <i x="75" s="1"/>
        <i x="1257" s="1"/>
        <i x="670" s="1"/>
        <i x="1853" s="1"/>
        <i x="1788" s="1"/>
        <i x="1426" s="1"/>
        <i x="1897" s="1"/>
        <i x="1259" s="1"/>
        <i x="562" s="1"/>
        <i x="1225" s="1"/>
        <i x="1711" s="1"/>
        <i x="507" s="1"/>
        <i x="1226" s="1"/>
        <i x="625" s="1"/>
        <i x="595" s="1"/>
        <i x="538" s="1"/>
        <i x="502" s="1"/>
        <i x="130" s="1"/>
        <i x="166" s="1"/>
        <i x="1817" s="1"/>
        <i x="993" s="1"/>
        <i x="1511" s="1"/>
        <i x="1413" s="1"/>
        <i x="663" s="1"/>
        <i x="1939" s="1"/>
        <i x="1419" s="1"/>
        <i x="744" s="1"/>
        <i x="792" s="1"/>
        <i x="1452" s="1"/>
        <i x="1725" s="1"/>
        <i x="888" s="1"/>
        <i x="1874" s="1"/>
        <i x="346" s="1"/>
        <i x="1661" s="1"/>
        <i x="730" s="1"/>
        <i x="1699" s="1"/>
        <i x="709" s="1"/>
        <i x="141" s="1"/>
        <i x="1985" s="1"/>
        <i x="295" s="1"/>
        <i x="871" s="1"/>
        <i x="953" s="1"/>
        <i x="1674" s="1"/>
        <i x="1362" s="1"/>
        <i x="96" s="1"/>
        <i x="90" s="1"/>
        <i x="1540" s="1"/>
        <i x="1438" s="1"/>
        <i x="1250" s="1"/>
        <i x="979" s="1"/>
        <i x="1724" s="1"/>
        <i x="478" s="1"/>
        <i x="636" s="1"/>
        <i x="342" s="1"/>
        <i x="515" s="1"/>
        <i x="1790" s="1"/>
        <i x="1143" s="1"/>
        <i x="336" s="1"/>
        <i x="89" s="1"/>
        <i x="813" s="1"/>
        <i x="1691" s="1"/>
        <i x="1653" s="1"/>
        <i x="281" s="1"/>
        <i x="459" s="1"/>
        <i x="883" s="1"/>
        <i x="1984" s="1"/>
        <i x="721" s="1"/>
        <i x="1917" s="1"/>
        <i x="430" s="1"/>
        <i x="1170" s="1"/>
        <i x="1285" s="1"/>
        <i x="1279" s="1"/>
        <i x="790" s="1"/>
        <i x="859" s="1"/>
        <i x="649" s="1"/>
        <i x="291" s="1"/>
        <i x="462" s="1"/>
        <i x="1071" s="1"/>
        <i x="1169" s="1"/>
        <i x="1097" s="1"/>
        <i x="486" s="1"/>
        <i x="1457" s="1"/>
        <i x="1579" s="1"/>
        <i x="451" s="1"/>
        <i x="1938" s="1"/>
        <i x="43" s="1"/>
        <i x="348" s="1"/>
        <i x="985" s="1"/>
        <i x="990" s="1"/>
        <i x="1645" s="1"/>
        <i x="1820" s="1"/>
        <i x="1256" s="1"/>
        <i x="1407" s="1"/>
        <i x="465" s="1"/>
        <i x="543" s="1"/>
        <i x="578" s="1"/>
        <i x="50" s="1"/>
        <i x="802" s="1"/>
        <i x="1932" s="1"/>
        <i x="1706" s="1"/>
        <i x="1012" s="1"/>
        <i x="219" s="1"/>
        <i x="1908" s="1"/>
        <i x="1780" s="1"/>
        <i x="626" s="1"/>
        <i x="1450" s="1"/>
        <i x="762" s="1"/>
        <i x="1351" s="1"/>
        <i x="1783" s="1"/>
        <i x="1218" s="1"/>
        <i x="1118" s="1"/>
        <i x="242" s="1"/>
        <i x="1912" s="1"/>
        <i x="1644" s="1"/>
        <i x="853" s="1"/>
        <i x="1338" s="1"/>
        <i x="192" s="1"/>
        <i x="947" s="1"/>
        <i x="1698" s="1"/>
        <i x="460" s="1"/>
        <i x="704" s="1"/>
        <i x="1921" s="1"/>
        <i x="710" s="1"/>
        <i x="98" s="1"/>
        <i x="995" s="1"/>
        <i x="667" s="1"/>
        <i x="438" s="1"/>
        <i x="1091" s="1"/>
        <i x="1195" s="1"/>
        <i x="1269" s="1"/>
        <i x="1235" s="1"/>
        <i x="779" s="1"/>
        <i x="66" s="1"/>
        <i x="1094" s="1"/>
        <i x="1368" s="1"/>
        <i x="805" s="1"/>
        <i x="558" s="1"/>
        <i x="535" s="1"/>
        <i x="1229" s="1"/>
        <i x="510" s="1"/>
        <i x="1210" s="1"/>
        <i x="156" s="1"/>
        <i x="755" s="1"/>
        <i x="189" s="1"/>
        <i x="1829" s="1"/>
        <i x="224" s="1"/>
        <i x="309" s="1"/>
        <i x="1174" s="1"/>
        <i x="830" s="1"/>
        <i x="728" s="1"/>
        <i x="1040" s="1"/>
        <i x="509" s="1"/>
        <i x="1537" s="1"/>
        <i x="594" s="1"/>
        <i x="298" s="1"/>
        <i x="567" s="1"/>
        <i x="751" s="1"/>
        <i x="1408" s="1"/>
        <i x="1981" s="1"/>
        <i x="639" s="1"/>
        <i x="934" s="1"/>
        <i x="1930" s="1"/>
        <i x="1213" s="1"/>
        <i x="1856" s="1"/>
        <i x="513" s="1"/>
        <i x="1303" s="1"/>
        <i x="1604" s="1"/>
        <i x="1528" s="1"/>
        <i x="552" s="1"/>
        <i x="263" s="1"/>
        <i x="838" s="1"/>
        <i x="1813" s="1"/>
        <i x="1057" s="1"/>
        <i x="35" s="1"/>
        <i x="1145" s="1"/>
        <i x="1965" s="1"/>
        <i x="471" s="1"/>
        <i x="419" s="1"/>
        <i x="1614" s="1"/>
        <i x="1818" s="1"/>
        <i x="385" s="1"/>
        <i x="1110" s="1"/>
        <i x="407" s="1"/>
        <i x="381" s="1"/>
        <i x="658" s="1"/>
        <i x="1546" s="1"/>
        <i x="1290" s="1"/>
        <i x="950" s="1"/>
        <i x="248" s="1"/>
        <i x="895" s="1"/>
        <i x="469" s="1"/>
        <i x="714" s="1"/>
        <i x="1782" s="1"/>
        <i x="1424" s="1"/>
        <i x="1451" s="1"/>
        <i x="302" s="1"/>
        <i x="176" s="1"/>
        <i x="767" s="1"/>
        <i x="145" s="1"/>
        <i x="1766" s="1"/>
        <i x="250" s="1"/>
        <i x="1558" s="1"/>
        <i x="14" s="1"/>
        <i x="1791" s="1"/>
        <i x="1815" s="1"/>
        <i x="142" s="1"/>
        <i x="293" s="1"/>
        <i x="598" s="1"/>
        <i x="401" s="1"/>
        <i x="1415" s="1"/>
        <i x="116" s="1"/>
        <i x="1134" s="1"/>
        <i x="461" s="1"/>
        <i x="968" s="1"/>
        <i x="1667" s="1"/>
        <i x="544" s="1"/>
        <i x="1879" s="1"/>
        <i x="1910" s="1"/>
        <i x="1655" s="1"/>
        <i x="1187" s="1"/>
        <i x="1475" s="1"/>
        <i x="585" s="1"/>
        <i x="749" s="1"/>
        <i x="251" s="1"/>
        <i x="1062" s="1"/>
        <i x="951" s="1"/>
        <i x="403" s="1"/>
        <i x="891" s="1"/>
        <i x="1860" s="1"/>
        <i x="700" s="1"/>
        <i x="563" s="1"/>
        <i x="331" s="1"/>
        <i x="372" s="1"/>
        <i x="1177" s="1"/>
        <i x="1179" s="1"/>
        <i x="1202" s="1"/>
        <i x="443" s="1"/>
        <i x="282" s="1"/>
        <i x="454" s="1"/>
        <i x="747" s="1"/>
        <i x="1562" s="1"/>
        <i x="234" s="1"/>
        <i x="1916" s="1"/>
        <i x="616" s="1"/>
        <i x="99" s="1"/>
        <i x="1270" s="1"/>
        <i x="1102" s="1"/>
        <i x="923" s="1"/>
        <i x="1902" s="1"/>
        <i x="986" s="1"/>
        <i x="1679" s="1"/>
        <i x="41" s="1"/>
        <i x="664" s="1"/>
        <i x="725" s="1"/>
        <i x="1569" s="1"/>
        <i x="479" s="1"/>
        <i x="1676" s="1"/>
        <i x="1251" s="1"/>
        <i x="650" s="1"/>
        <i x="1083" s="1"/>
        <i x="797" s="1"/>
        <i x="129" s="1"/>
        <i x="1552" s="1"/>
        <i x="1893" s="1"/>
        <i x="238" s="1"/>
        <i x="433" s="1"/>
        <i x="1331" s="1"/>
        <i x="602" s="1"/>
        <i x="1876" s="1"/>
        <i x="28" s="1"/>
        <i x="1958" s="1"/>
        <i x="1580" s="1"/>
        <i x="379" s="1"/>
        <i x="1473" s="1"/>
        <i x="815" s="1"/>
        <i x="1574" s="1"/>
        <i x="1342" s="1"/>
        <i x="915" s="1"/>
        <i x="999" s="1"/>
        <i x="1488" s="1"/>
        <i x="648" s="1"/>
        <i x="1165" s="1"/>
        <i x="36" s="1"/>
        <i x="300" s="1"/>
        <i x="1260" s="1"/>
        <i x="1198" s="1"/>
        <i x="1811" s="1"/>
        <i x="591" s="1"/>
        <i x="414" s="1"/>
        <i x="1663" s="1"/>
        <i x="1326" s="1"/>
        <i x="1384" s="1"/>
        <i x="938" s="1"/>
        <i x="373" s="1"/>
        <i x="1865" s="1"/>
        <i x="839" s="1"/>
        <i x="444" s="1"/>
        <i x="1454" s="1"/>
        <i x="102" s="1"/>
        <i x="411" s="1"/>
        <i x="1621" s="1"/>
        <i x="1623" s="1"/>
        <i x="884" s="1"/>
        <i x="961" s="1"/>
        <i x="1314" s="1"/>
        <i x="719" s="1"/>
        <i x="1973" s="1"/>
        <i x="1812" s="1"/>
        <i x="1129" s="1"/>
        <i x="956" s="1"/>
        <i x="788" s="1"/>
        <i x="557" s="1"/>
        <i x="593" s="1"/>
        <i x="776" s="1"/>
        <i x="858" s="1"/>
        <i x="1989" s="1"/>
        <i x="1607" s="1"/>
        <i x="1731" s="1"/>
        <i x="101" s="1"/>
        <i x="306" s="1"/>
        <i x="1498" s="1"/>
        <i x="870" s="1"/>
        <i x="1418" s="1"/>
        <i x="1955" s="1"/>
        <i x="1186" s="1"/>
        <i x="829" s="1"/>
        <i x="499" s="1"/>
        <i x="82" s="1"/>
        <i x="136" s="1"/>
        <i x="155" s="1"/>
        <i x="1333" s="1"/>
        <i x="1478" s="1"/>
        <i x="703" s="1"/>
        <i x="656" s="1"/>
        <i x="1355" s="1"/>
        <i x="1584" s="1"/>
        <i x="1669" s="1"/>
        <i x="159" s="1"/>
        <i x="622" s="1"/>
        <i x="1547" s="1"/>
        <i x="456" s="1"/>
        <i x="782" s="1"/>
        <i x="1135" s="1"/>
        <i x="1666" s="1"/>
        <i x="1231" s="1"/>
        <i x="311" s="1"/>
        <i x="1568" s="1"/>
        <i x="1980" s="1"/>
        <i x="1322" s="1"/>
        <i x="1124" s="1"/>
        <i x="1903" s="1"/>
        <i x="64" s="1"/>
        <i x="428" s="1"/>
        <i x="1960" s="1"/>
        <i x="619" s="1"/>
        <i x="742" s="1"/>
        <i x="1429" s="1"/>
        <i x="1327" s="1"/>
        <i x="266" s="1"/>
        <i x="971" s="1"/>
        <i x="1518" s="1"/>
        <i x="1350" s="1"/>
        <i x="539" s="1"/>
        <i x="1109" s="1"/>
        <i x="203" s="1"/>
        <i x="197" s="1"/>
        <i x="1757" s="1"/>
        <i x="1153" s="1"/>
        <i x="1306" s="1"/>
        <i x="1360" s="1"/>
        <i x="1681" s="1"/>
        <i x="351" s="1"/>
        <i x="1249" s="1"/>
        <i x="104" s="1"/>
        <i x="1207" s="1"/>
        <i x="195" s="1"/>
        <i x="1404" s="1"/>
        <i x="495" s="1"/>
        <i x="1463" s="1"/>
        <i x="1431" s="1"/>
        <i x="1610" s="1"/>
        <i x="1199" s="1"/>
        <i x="1508" s="1"/>
        <i x="1923" s="1"/>
        <i x="724" s="1"/>
        <i x="967" s="1"/>
        <i x="237" s="1"/>
        <i x="1230" s="1"/>
        <i x="206" s="1"/>
        <i x="690" s="1"/>
        <i x="1957" s="1"/>
        <i x="147" s="1"/>
        <i x="943" s="1"/>
        <i x="1302" s="1"/>
        <i x="1361" s="1"/>
        <i x="1941" s="1"/>
        <i x="1223" s="1"/>
        <i x="832" s="1"/>
        <i x="1140" s="1"/>
        <i x="1688" s="1"/>
        <i x="1345" s="1"/>
        <i x="678" s="1"/>
        <i x="1422" s="1"/>
        <i x="71" s="1"/>
        <i x="789" s="1"/>
        <i x="1751" s="1"/>
        <i x="1211" s="1"/>
        <i x="1357" s="1"/>
        <i x="662" s="1"/>
        <i x="1064" s="1"/>
        <i x="473" s="1"/>
        <i x="339" s="1"/>
        <i x="1862" s="1"/>
        <i x="400" s="1"/>
        <i x="1983" s="1"/>
        <i x="774" s="1"/>
        <i x="273" s="1"/>
        <i x="771" s="1"/>
        <i x="1108" s="1"/>
        <i x="7" s="1"/>
        <i x="559" s="1"/>
        <i x="1001" s="1"/>
        <i x="1043" s="1"/>
        <i x="458" s="1"/>
        <i x="1519" s="1"/>
        <i x="1004" s="1"/>
        <i x="1133" s="1"/>
        <i x="1999" s="1"/>
        <i x="1878" s="1"/>
        <i x="736" s="1"/>
        <i x="726" s="1"/>
        <i x="1521" s="1"/>
        <i x="312" s="1"/>
        <i x="1009" s="1"/>
        <i x="1555" s="1"/>
        <i x="604" s="1"/>
        <i x="847" s="1"/>
        <i x="865" s="1"/>
        <i x="294" s="1"/>
        <i x="695" s="1"/>
        <i x="314" s="1"/>
        <i x="1795" s="1"/>
        <i x="57" s="1"/>
        <i x="344" s="1"/>
        <i x="1265" s="1"/>
        <i x="536" s="1"/>
        <i x="1631" s="1"/>
        <i x="1854" s="1"/>
        <i x="718" s="1"/>
        <i x="215" s="1"/>
        <i x="820" s="1"/>
        <i x="948" s="1"/>
        <i x="1252" s="1"/>
        <i x="133" s="1"/>
        <i x="1525" s="1"/>
        <i x="1619" s="1"/>
        <i x="1524" s="1"/>
        <i x="389" s="1"/>
        <i x="1154" s="1"/>
        <i x="1363" s="1"/>
        <i x="1007" s="1"/>
        <i x="97" s="1"/>
        <i x="1740" s="1"/>
        <i x="1320" s="1"/>
        <i x="8" s="1"/>
        <i x="216" s="1"/>
        <i x="330" s="1"/>
        <i x="365" s="1"/>
        <i x="1855" s="1"/>
        <i x="908" s="1"/>
        <i x="1099" s="1"/>
        <i x="1456" s="1"/>
        <i x="1517" s="1"/>
        <i x="1594" s="1"/>
        <i x="1046" s="1"/>
        <i x="283" s="1"/>
        <i x="976" s="1"/>
        <i x="796" s="1"/>
        <i x="825" s="1"/>
        <i x="606" s="1"/>
        <i x="1515" s="1"/>
        <i x="1911" s="1"/>
        <i x="1271" s="1"/>
        <i x="1630" s="1"/>
        <i x="1149" s="1"/>
        <i x="1313" s="1"/>
        <i x="1892" s="1"/>
        <i x="1482" s="1"/>
        <i x="1168" s="1"/>
        <i x="79" s="1"/>
        <i x="1209" s="1"/>
        <i x="1599" s="1"/>
        <i x="1388" s="1"/>
        <i x="425" s="1"/>
        <i x="62" s="1"/>
        <i x="831" s="1"/>
        <i x="1106" s="1"/>
        <i x="120" s="1"/>
        <i x="1374" s="1"/>
        <i x="1830" s="1"/>
        <i x="1206" s="1"/>
        <i x="989" s="1"/>
        <i x="483" s="1"/>
        <i x="750" s="1"/>
        <i x="1466" s="1"/>
        <i x="772" s="1"/>
        <i x="931" s="1"/>
        <i x="1047" s="1"/>
        <i x="1483" s="1"/>
        <i x="230" s="1"/>
        <i x="586" s="1"/>
        <i x="1430" s="1"/>
        <i x="1671" s="1"/>
        <i x="1538" s="1"/>
        <i x="1236" s="1"/>
        <i x="485" s="1"/>
        <i x="457" s="1"/>
        <i x="1982" s="1"/>
        <i x="1433" s="1"/>
        <i x="1132" s="1"/>
        <i x="1990" s="1"/>
        <i x="1687" s="1"/>
        <i x="816" s="1"/>
        <i x="434" s="1"/>
        <i x="22" s="1"/>
        <i x="1826" s="1"/>
        <i x="612" s="1"/>
        <i x="210" s="1"/>
        <i x="1382" s="1"/>
        <i x="1792" s="1"/>
        <i x="1533" s="1"/>
        <i x="1409" s="1"/>
        <i x="1023" s="1"/>
        <i x="1400" s="1"/>
        <i x="368" s="1"/>
        <i x="1851" s="1"/>
        <i x="2" s="1"/>
        <i x="1349" s="1"/>
        <i x="1578" s="1"/>
        <i x="177" s="1"/>
        <i x="1432" s="1"/>
        <i x="1613" s="1"/>
        <i x="1197" s="1"/>
        <i x="554" s="1"/>
        <i x="423" s="1"/>
        <i x="1122" s="1"/>
        <i x="942" s="1"/>
        <i x="1103" s="1"/>
        <i x="1332" s="1"/>
        <i x="1765" s="1"/>
        <i x="1867" s="1"/>
        <i x="1920" s="1"/>
        <i x="885" s="1"/>
        <i x="524" s="1"/>
        <i x="84" s="1"/>
        <i x="1535" s="1"/>
        <i x="680" s="1"/>
        <i x="549" s="1"/>
        <i x="1668" s="1"/>
        <i x="1272" s="1"/>
        <i x="307" s="1"/>
        <i x="1137" s="1"/>
        <i x="1176" s="1"/>
        <i x="1441" s="1"/>
        <i x="673" s="1"/>
        <i x="148" s="1"/>
        <i x="769" s="1"/>
        <i x="1101" s="1"/>
        <i x="1868" s="1"/>
        <i x="752" s="1"/>
        <i x="1978" s="1"/>
        <i x="1194" s="1"/>
        <i x="1446" s="1"/>
        <i x="374" s="1"/>
        <i x="723" s="1"/>
        <i x="1386" s="1"/>
        <i x="1747" s="1"/>
        <i x="1317" s="1"/>
        <i x="169" s="1"/>
        <i x="1464" s="1"/>
        <i x="1536" s="1"/>
        <i x="1315" s="1"/>
        <i x="917" s="1"/>
        <i x="422" s="1"/>
        <i x="337" s="1"/>
        <i x="1758" s="1"/>
        <i x="712" s="1"/>
        <i x="128" s="1"/>
        <i x="146" s="1"/>
        <i x="415" s="1"/>
        <i x="977" s="1"/>
        <i x="1904" s="1"/>
        <i x="1119" s="1"/>
        <i x="1809" s="1"/>
        <i x="1234" s="1"/>
        <i x="1871" s="1"/>
        <i x="666" s="1"/>
        <i x="158" s="1"/>
        <i x="1291" s="1"/>
        <i x="52" s="1"/>
        <i x="864" s="1"/>
        <i x="761" s="1"/>
        <i x="1730" s="1"/>
        <i x="1245" s="1"/>
        <i x="1931" s="1"/>
        <i x="1010" s="1"/>
        <i x="1696" s="1"/>
        <i x="1852" s="1"/>
        <i x="1994" s="1"/>
        <i x="1505" s="1"/>
        <i x="657" s="1"/>
        <i x="1754" s="1"/>
        <i x="1289" s="1"/>
        <i x="836" s="1"/>
        <i x="589" s="1"/>
        <i x="1737" s="1"/>
        <i x="1657" s="1"/>
        <i x="705" s="1"/>
        <i x="1082" s="1"/>
        <i x="975" s="1"/>
        <i x="1693" s="1"/>
        <i x="940" s="1"/>
        <i x="1987" s="1"/>
        <i x="541" s="1"/>
        <i x="1242" s="1"/>
        <i x="1808" s="1"/>
        <i x="1915" s="1"/>
        <i x="786" s="1"/>
        <i x="1214" s="1"/>
        <i x="59" s="1"/>
        <i x="366" s="1"/>
        <i x="590" s="1"/>
        <i x="1635" s="1"/>
        <i x="1598" s="1"/>
        <i x="241" s="1"/>
        <i x="834" s="1"/>
        <i x="482" s="1"/>
        <i x="1069" s="1"/>
        <i x="1956" s="1"/>
        <i x="811" s="1"/>
        <i x="349" s="1"/>
        <i x="100" s="1"/>
        <i x="893" s="1"/>
        <i x="259" s="1"/>
        <i x="420" s="1"/>
        <i x="1683" s="1"/>
        <i x="868" s="1"/>
        <i x="1618" s="1"/>
        <i x="296" s="1"/>
        <i x="480" s="1"/>
        <i x="511" s="1"/>
        <i x="1371" s="1"/>
        <i x="1887" s="1"/>
        <i x="794" s="1"/>
        <i x="1875" s="1"/>
        <i x="1977" s="1"/>
        <i x="1087" s="1"/>
        <i x="435" s="1"/>
        <i x="1873" s="1"/>
        <i x="601" s="1"/>
        <i x="1243" s="1"/>
        <i x="391" s="1"/>
        <i x="1286" s="1"/>
        <i x="843" s="1"/>
        <i x="390" s="1"/>
        <i x="1774" s="1"/>
        <i x="644" s="1"/>
        <i x="370" s="1"/>
        <i x="1405" s="1"/>
        <i x="1559" s="1"/>
        <i x="1219" s="1"/>
        <i x="1864" s="1"/>
        <i x="139" s="1"/>
        <i x="1764" s="1"/>
        <i x="270" s="1"/>
        <i x="51" s="1"/>
        <i x="1690" s="1"/>
        <i x="492" s="1"/>
        <i x="323" s="1"/>
        <i x="1203" s="1"/>
        <i x="1572" s="1"/>
        <i x="754" s="1"/>
        <i x="325" s="1"/>
        <i x="194" s="1"/>
        <i x="1962" s="1"/>
        <i x="1060" s="1"/>
        <i x="1402" s="1"/>
        <i x="846" s="1"/>
        <i x="1953" s="1"/>
        <i x="1620" s="1"/>
        <i x="1670" s="1"/>
        <i x="775" s="1"/>
        <i x="1520" s="1"/>
        <i x="1735" s="1"/>
        <i x="1247" s="1"/>
        <i x="1491" s="1"/>
        <i x="1846" s="1"/>
        <i x="1974" s="1"/>
        <i x="715" s="1"/>
        <i x="186" s="1"/>
        <i x="1516" s="1"/>
        <i x="235" s="1"/>
        <i x="1557" s="1"/>
        <i x="686" s="1"/>
        <i x="110" s="1"/>
        <i x="1608" s="1"/>
        <i x="1455" s="1"/>
        <i x="299" s="1"/>
        <i x="475" s="1"/>
        <i x="916" s="1"/>
        <i x="1227" s="1"/>
        <i x="1273" s="1"/>
        <i x="1992" s="1"/>
        <i x="869" s="1"/>
        <i x="1172" s="1"/>
        <i x="894" s="1"/>
        <i x="1784" s="1"/>
        <i x="1200" s="1"/>
        <i x="577" s="1"/>
        <i x="1253" s="1"/>
        <i x="1947" s="1"/>
        <i x="570" s="1"/>
        <i x="863" s="1"/>
        <i x="1576" s="1"/>
        <i x="631" s="1"/>
        <i x="624" s="1"/>
        <i x="58" s="1"/>
        <i x="1959" s="1"/>
        <i x="676" s="1"/>
        <i x="1123" s="1"/>
        <i x="1002" s="1"/>
        <i x="1804" s="1"/>
        <i x="697" s="1"/>
        <i x="1928" s="1"/>
        <i x="53" s="1"/>
        <i x="614" s="1"/>
        <i x="470" s="1"/>
        <i x="1629" s="1"/>
        <i x="519" s="1"/>
        <i x="450" s="1"/>
        <i x="115" s="1"/>
        <i x="635" s="1"/>
        <i x="1497" s="1"/>
        <i x="1189" s="1"/>
        <i x="1406" s="1"/>
        <i x="1479" s="1"/>
        <i x="1073" s="1"/>
        <i x="367" s="1"/>
        <i x="1849" s="1"/>
        <i x="504" s="1"/>
        <i x="1979" s="1"/>
        <i x="1095" s="1"/>
        <i x="1359" s="1"/>
        <i x="1233" s="1"/>
        <i x="784" s="1"/>
        <i x="654" s="1"/>
        <i x="688" s="1"/>
        <i x="1098" s="1"/>
        <i x="477" s="1"/>
        <i x="746" s="1"/>
        <i x="1380" s="1"/>
        <i x="1675" s="1"/>
        <i x="151" s="1"/>
        <i x="345" s="1"/>
        <i x="1084" s="1"/>
        <i x="768" s="1"/>
        <i x="1275" s="1"/>
        <i x="949" s="1"/>
        <i x="182" s="1"/>
        <i x="1237" s="1"/>
        <i x="1801" s="1"/>
        <i x="83" s="1"/>
        <i x="1449" s="1"/>
        <i x="1841" s="1"/>
        <i x="1963" s="1"/>
        <i x="1092" s="1"/>
        <i x="812" s="1"/>
        <i x="978" s="1"/>
        <i x="1988" s="1"/>
        <i x="445" s="1"/>
        <i x="1038" s="1"/>
        <i x="223" s="1"/>
        <i x="1076" s="1"/>
        <i x="1773" s="1"/>
        <i x="170" s="1"/>
        <i x="1093" s="1"/>
        <i x="1070" s="1"/>
        <i x="1890" s="1"/>
        <i x="378" s="1"/>
        <i x="1161" s="1"/>
        <i x="144" s="1"/>
        <i x="637" s="1"/>
        <i x="615" s="1"/>
        <i x="1444" s="1"/>
        <i x="1550" s="1"/>
        <i x="980" s="1"/>
        <i x="1166" s="1"/>
        <i x="1803" s="1"/>
        <i x="791" s="1"/>
        <i x="1015" s="1"/>
        <i x="249" s="1"/>
        <i x="919" s="1"/>
        <i x="1490" s="1"/>
        <i x="1216" s="1"/>
        <i x="1495" s="1"/>
        <i x="1616" s="1"/>
        <i x="315" s="1"/>
        <i x="571" s="1"/>
        <i x="39" s="1"/>
        <i x="1664" s="1"/>
        <i x="653" s="1"/>
        <i x="1946" s="1"/>
        <i x="1173" s="1"/>
        <i x="1330" s="1"/>
        <i x="1078" s="1"/>
        <i x="209" s="1"/>
        <i x="842" s="1"/>
        <i x="30" s="1"/>
        <i x="494" s="1"/>
        <i x="860" s="1"/>
        <i x="1906" s="1"/>
        <i x="1834" s="1"/>
        <i x="1763" s="1"/>
        <i x="439" s="1"/>
        <i x="65" s="1"/>
        <i x="1650" s="1"/>
        <i x="424" s="1"/>
        <i x="187" s="1"/>
        <i x="1267" s="1"/>
        <i x="1787" s="1"/>
        <i x="1718" s="1"/>
        <i x="48" s="1"/>
        <i x="1924" s="1"/>
        <i x="268" s="1"/>
        <i x="857" s="1"/>
        <i x="1821" s="1"/>
        <i x="1712" s="1"/>
        <i x="1969" s="1"/>
        <i x="289" s="1"/>
        <i x="371" s="1"/>
        <i x="1403" s="1"/>
        <i x="1416" s="1"/>
        <i x="68" s="1"/>
        <i x="1399" s="1"/>
        <i x="1436" s="1"/>
        <i x="240" s="1"/>
        <i x="491" s="1"/>
        <i x="24" s="1"/>
        <i x="984" s="1"/>
        <i x="269" s="1"/>
        <i x="347" s="1"/>
        <i x="157" s="1"/>
        <i x="1709" s="1"/>
        <i x="1117" s="1"/>
        <i x="765" s="1"/>
        <i x="1866" s="1"/>
        <i x="61" s="1"/>
        <i x="358" s="1"/>
        <i x="153" s="1"/>
        <i x="1647" s="1"/>
        <i x="1052" s="1"/>
        <i x="611" s="1"/>
        <i x="1844" s="1"/>
        <i x="874" s="1"/>
        <i x="793" s="1"/>
        <i x="4" s="1"/>
        <i x="1035" s="1"/>
        <i x="799" s="1"/>
        <i x="329" s="1"/>
        <i x="487" s="1"/>
        <i x="16" s="1"/>
        <i x="584" s="1"/>
        <i x="1448" s="1"/>
        <i x="1881" s="1"/>
        <i x="932" s="1"/>
        <i x="231" s="1"/>
        <i x="489" s="1"/>
        <i x="1193" s="1"/>
        <i x="105" s="1"/>
        <i x="987" s="1"/>
        <i x="1850" s="1"/>
        <i x="393" s="1"/>
        <i x="32" s="1"/>
        <i x="1339" s="1"/>
        <i x="579" s="1"/>
        <i x="1437" s="1"/>
        <i x="171" s="1"/>
        <i x="576" s="1"/>
        <i x="1127" s="1"/>
        <i x="1034" s="1"/>
        <i x="118" s="1"/>
        <i x="1648" s="1"/>
        <i x="80" s="1"/>
        <i x="1895" s="1"/>
        <i x="1832" s="1"/>
        <i x="909" s="1"/>
        <i x="647" s="1"/>
        <i x="1543" s="1"/>
        <i x="1673" s="1"/>
        <i x="1949" s="1"/>
        <i x="1593" s="1"/>
        <i x="1041" s="1"/>
        <i x="1307" s="1"/>
        <i x="399" s="1"/>
        <i x="1329" s="1"/>
        <i x="1713" s="1"/>
        <i x="992" s="1"/>
        <i x="359" s="1"/>
        <i x="621" s="1"/>
        <i x="1649" s="1"/>
        <i x="1885" s="1"/>
        <i x="199" s="1"/>
        <i x="1394" s="1"/>
        <i x="245" s="1"/>
        <i x="42" s="1"/>
        <i x="1178" s="1"/>
        <i x="573" s="1"/>
        <i x="217" s="1"/>
        <i x="735" s="1"/>
        <i x="733" s="1"/>
        <i x="1370" s="1"/>
        <i x="1171" s="1"/>
        <i x="261" s="1"/>
        <i x="1642" s="1"/>
        <i x="1059" s="1"/>
        <i x="1447" s="1"/>
        <i x="818" s="1"/>
        <i x="526" s="1"/>
        <i x="1721" s="1"/>
        <i x="1224" s="1"/>
        <i x="7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5AAD4B41-51D7-4ABB-AD71-A163766BBE4F}" cache="Slicer_Name" caption="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2204C863-79DB-4CCC-A90A-1C85BB6229CB}" cache="Slicer_Name" caption="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DC8F26-97A5-4EA8-BCCB-4A4309F2AAA7}" name="Table2" displayName="Table2" ref="L1:M10" totalsRowShown="0">
  <autoFilter ref="L1:M10" xr:uid="{DDDC8F26-97A5-4EA8-BCCB-4A4309F2AAA7}"/>
  <tableColumns count="2">
    <tableColumn id="1" xr3:uid="{C572EDC1-13C2-4CB2-981B-C3F13C6408B7}" name="SUMMARY OF THE DATASET"/>
    <tableColumn id="2" xr3:uid="{1B643081-349A-4F7E-BF1C-6C607F38B052}" name="Figures"/>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727600-6E13-4DC1-9CD5-275B84325CE3}" name="Table3" displayName="Table3" ref="L14:M18" totalsRowShown="0">
  <autoFilter ref="L14:M18" xr:uid="{38727600-6E13-4DC1-9CD5-275B84325CE3}"/>
  <tableColumns count="2">
    <tableColumn id="1" xr3:uid="{7EE6E197-73FD-48FA-903B-5B49A339844C}" name="NOTABLE PARTTERN FROM THE DATASET"/>
    <tableColumn id="2" xr3:uid="{CBFEF1C6-0512-4CCE-AE25-2DE3A38D1B6D}" name="Figures"/>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551E68-4F08-454A-A1AD-F2C1F59DE844}" name="Table4" displayName="Table4" ref="A2:H2002" totalsRowShown="0">
  <autoFilter ref="A2:H2002" xr:uid="{FD551E68-4F08-454A-A1AD-F2C1F59DE844}"/>
  <sortState xmlns:xlrd2="http://schemas.microsoft.com/office/spreadsheetml/2017/richdata2" ref="A3:H7">
    <sortCondition ref="E2:E2002"/>
  </sortState>
  <tableColumns count="8">
    <tableColumn id="1" xr3:uid="{4F11ECA1-FD2A-4373-880E-DB0B594C1EB1}" name="Name"/>
    <tableColumn id="2" xr3:uid="{5CF30325-2453-4AE8-9CC6-A16FA57FC16E}" name="City"/>
    <tableColumn id="3" xr3:uid="{7438A34D-37FA-4278-9012-D601AAAAD9F1}" name="Income"/>
    <tableColumn id="4" xr3:uid="{955F3F1E-403F-4A94-A0B5-4E17CAF2F467}" name="Credit_Score"/>
    <tableColumn id="5" xr3:uid="{6D45AF80-35D8-4980-812C-3953DE43D528}" name="Loan_Amount"/>
    <tableColumn id="6" xr3:uid="{9D5EDFAE-C3E0-4A4C-A841-4BFF59B6DE53}" name="Years_Employed"/>
    <tableColumn id="7" xr3:uid="{71404AC0-0D3F-48C7-ACF9-4D0F40DC3C5D}" name="Points"/>
    <tableColumn id="8" xr3:uid="{F48B3F0B-975A-4B10-B337-CD1474C46E0E}" name="Loan_Approved"/>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92D0656-30C4-4E8D-9917-5017A65C564E}" name="Table5" displayName="Table5" ref="I2:J2002" totalsRowShown="0">
  <autoFilter ref="I2:J2002" xr:uid="{E92D0656-30C4-4E8D-9917-5017A65C564E}"/>
  <tableColumns count="2">
    <tableColumn id="1" xr3:uid="{753FFA2D-D338-492C-A144-0411AD5A055D}" name="Is Approved">
      <calculatedColumnFormula>--H3</calculatedColumnFormula>
    </tableColumn>
    <tableColumn id="2" xr3:uid="{3F1B0C6B-25CA-4B82-9EFE-528CA2F5C0CA}" name="Notable Patterns For The Credit Score">
      <calculatedColumnFormula>IF(D3&gt;750, "751-850 (Excellent)", IF(D3&gt;600, "601-750 (Good)", IF(D3&gt;450, "451-600 (Fair)", "300-450 (Poor)")))</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0819B56-2817-4BDB-B574-3512F3832810}" name="Table79" displayName="Table79" ref="L33:U49" totalsRowShown="0" headerRowDxfId="29" dataDxfId="28" tableBorderDxfId="27">
  <autoFilter ref="L33:U49" xr:uid="{50819B56-2817-4BDB-B574-3512F3832810}"/>
  <tableColumns count="10">
    <tableColumn id="1" xr3:uid="{84411A5C-A3BE-4EEE-A8BC-57300609376F}" name="Income" dataDxfId="26"/>
    <tableColumn id="2" xr3:uid="{C333959A-67F5-49A2-A0B8-9DFA308B5BEF}" name="FIGURE1" dataDxfId="25"/>
    <tableColumn id="3" xr3:uid="{A6258D1B-AD93-4790-A0CB-041235892A69}" name="Credit_Score" dataDxfId="24"/>
    <tableColumn id="4" xr3:uid="{93157AB9-49E1-4132-9E82-65937B8EE812}" name="FIGURE2" dataDxfId="23"/>
    <tableColumn id="5" xr3:uid="{F0D01651-A825-4490-A9FB-CC6A47934935}" name="Loan_Amount" dataDxfId="22"/>
    <tableColumn id="6" xr3:uid="{A3C61423-079B-4793-A089-11444D381043}" name="FIGURE3" dataDxfId="21"/>
    <tableColumn id="7" xr3:uid="{349026B7-5A83-4DB1-B829-FE97E39C8A5D}" name="Years_Employed" dataDxfId="20"/>
    <tableColumn id="8" xr3:uid="{E2BE4A08-0DD3-4890-85F1-661BBA07F237}" name="FIGURE4" dataDxfId="19"/>
    <tableColumn id="9" xr3:uid="{DEA020E1-EB01-47D4-A68D-06CE5156730F}" name="Points" dataDxfId="18"/>
    <tableColumn id="10" xr3:uid="{B0094BA2-103A-46E4-B255-32F3C6BE05DC}" name="FIGURE5" dataDxfId="17"/>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BE76880-192F-48C1-8814-5B178B4F3BA2}" name="Table210" displayName="Table210" ref="B1:C10" totalsRowShown="0">
  <autoFilter ref="B1:C10" xr:uid="{ABE76880-192F-48C1-8814-5B178B4F3BA2}"/>
  <tableColumns count="2">
    <tableColumn id="1" xr3:uid="{F1242B91-5064-4A39-9DB6-E54F091103FA}" name="SUMMARY OF THE DATASET"/>
    <tableColumn id="2" xr3:uid="{A94AD6C3-523B-40F9-B0CF-FBCD01B28BB6}" name="Figures"/>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7132318-5A4E-4E1D-86B2-D890A0A738A2}" name="Table311" displayName="Table311" ref="B14:C18" totalsRowShown="0">
  <autoFilter ref="B14:C18" xr:uid="{A7132318-5A4E-4E1D-86B2-D890A0A738A2}"/>
  <tableColumns count="2">
    <tableColumn id="1" xr3:uid="{C2299760-A6A4-4A2C-98D2-94FC4E914E98}" name="NOTABLE PARTTERN FROM THE DATASET"/>
    <tableColumn id="2" xr3:uid="{EE7C882B-7B88-4782-B254-D00622F8EE1A}" name="Figures"/>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392331C-0282-4716-9CD0-CF0EAAB08C13}" name="Table7912" displayName="Table7912" ref="B33:K49" totalsRowShown="0" headerRowDxfId="16" dataDxfId="15" tableBorderDxfId="14">
  <autoFilter ref="B33:K49" xr:uid="{B392331C-0282-4716-9CD0-CF0EAAB08C13}"/>
  <tableColumns count="10">
    <tableColumn id="1" xr3:uid="{B6C8DF36-FB80-4833-931E-B0DDA3F6C45C}" name="Income" dataDxfId="13"/>
    <tableColumn id="2" xr3:uid="{37F11ACF-0790-4F56-99A4-3556E4421869}" name="FIGURE1" dataDxfId="12"/>
    <tableColumn id="3" xr3:uid="{021640CC-8297-423E-9FBA-28A663E39577}" name="Credit_Score" dataDxfId="11"/>
    <tableColumn id="4" xr3:uid="{E458439C-ED6E-44D2-AE92-E776B5C65E99}" name="FIGURE2" dataDxfId="10"/>
    <tableColumn id="5" xr3:uid="{D5341447-C0F6-4FC7-8BFC-34BE90FA7308}" name="Loan_Amount" dataDxfId="9"/>
    <tableColumn id="6" xr3:uid="{7D3BA12C-52F5-49DF-8BFF-67A460553AFA}" name="FIGURE3" dataDxfId="8"/>
    <tableColumn id="7" xr3:uid="{32B2A845-25CE-4DB2-897F-ABE539986307}" name="Years_Employed" dataDxfId="7"/>
    <tableColumn id="8" xr3:uid="{7D8DAE18-109F-4BC2-BA6A-93380A95F6FF}" name="FIGURE4" dataDxfId="6"/>
    <tableColumn id="9" xr3:uid="{5EC1D34D-F294-46B8-88CB-345FDCCD24DC}" name="Points" dataDxfId="5"/>
    <tableColumn id="10" xr3:uid="{23EEB41D-9FBB-427C-B737-0395BA029890}" name="FIGURE5" dataDxfId="4"/>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pivotTable" Target="../pivotTables/pivotTable7.xml"/><Relationship Id="rId7" Type="http://schemas.openxmlformats.org/officeDocument/2006/relationships/table" Target="../tables/table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printerSettings" Target="../printerSettings/printerSettings1.bin"/><Relationship Id="rId9"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D1C5A-176B-48C5-AC34-5D3CBDEF42F3}">
  <dimension ref="A3:B4"/>
  <sheetViews>
    <sheetView workbookViewId="0">
      <selection activeCell="A2" sqref="A2:B4"/>
    </sheetView>
  </sheetViews>
  <sheetFormatPr defaultRowHeight="14.5" x14ac:dyDescent="0.35"/>
  <cols>
    <col min="1" max="1" width="12.36328125" bestFit="1" customWidth="1"/>
    <col min="2" max="2" width="21.1796875" bestFit="1" customWidth="1"/>
  </cols>
  <sheetData>
    <row r="3" spans="1:2" x14ac:dyDescent="0.35">
      <c r="A3" t="s">
        <v>3938</v>
      </c>
      <c r="B3" t="s">
        <v>3939</v>
      </c>
    </row>
    <row r="4" spans="1:2" x14ac:dyDescent="0.35">
      <c r="A4" s="15">
        <v>113360</v>
      </c>
      <c r="B4" s="15">
        <v>40882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6947E-E3AF-46E2-829C-5013DC659F84}">
  <dimension ref="A3:C6"/>
  <sheetViews>
    <sheetView workbookViewId="0">
      <selection activeCell="A2" sqref="A2:C6"/>
    </sheetView>
  </sheetViews>
  <sheetFormatPr defaultRowHeight="14.5" x14ac:dyDescent="0.35"/>
  <cols>
    <col min="1" max="1" width="12.36328125" bestFit="1" customWidth="1"/>
    <col min="2" max="2" width="13.36328125" bestFit="1" customWidth="1"/>
    <col min="3" max="3" width="19.08984375" bestFit="1" customWidth="1"/>
  </cols>
  <sheetData>
    <row r="3" spans="1:3" x14ac:dyDescent="0.35">
      <c r="A3" s="13" t="s">
        <v>3928</v>
      </c>
      <c r="B3" t="s">
        <v>3940</v>
      </c>
      <c r="C3" t="s">
        <v>3941</v>
      </c>
    </row>
    <row r="4" spans="1:3" x14ac:dyDescent="0.35">
      <c r="A4" s="14" t="s">
        <v>3934</v>
      </c>
      <c r="B4" s="15">
        <v>93398869</v>
      </c>
      <c r="C4" s="15">
        <v>30596553</v>
      </c>
    </row>
    <row r="5" spans="1:3" x14ac:dyDescent="0.35">
      <c r="A5" s="14" t="s">
        <v>3935</v>
      </c>
      <c r="B5" s="15">
        <v>87773085</v>
      </c>
      <c r="C5" s="15">
        <v>20020453</v>
      </c>
    </row>
    <row r="6" spans="1:3" x14ac:dyDescent="0.35">
      <c r="A6" s="14" t="s">
        <v>3933</v>
      </c>
      <c r="B6" s="15">
        <v>181171954</v>
      </c>
      <c r="C6" s="15">
        <v>50617006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81AC-6030-4CBE-859D-CCF7F069635C}">
  <dimension ref="A3:B9"/>
  <sheetViews>
    <sheetView workbookViewId="0">
      <selection activeCell="A3" sqref="A3"/>
    </sheetView>
  </sheetViews>
  <sheetFormatPr defaultRowHeight="14.5" x14ac:dyDescent="0.35"/>
  <cols>
    <col min="1" max="1" width="16" bestFit="1" customWidth="1"/>
    <col min="2" max="2" width="19.08984375" bestFit="1" customWidth="1"/>
  </cols>
  <sheetData>
    <row r="3" spans="1:2" x14ac:dyDescent="0.35">
      <c r="A3" s="13" t="s">
        <v>3943</v>
      </c>
      <c r="B3" t="s">
        <v>3941</v>
      </c>
    </row>
    <row r="4" spans="1:2" x14ac:dyDescent="0.35">
      <c r="A4" s="14" t="s">
        <v>1109</v>
      </c>
      <c r="B4" s="15">
        <v>49999</v>
      </c>
    </row>
    <row r="5" spans="1:2" x14ac:dyDescent="0.35">
      <c r="A5" s="14" t="s">
        <v>3571</v>
      </c>
      <c r="B5" s="15">
        <v>49920</v>
      </c>
    </row>
    <row r="6" spans="1:2" x14ac:dyDescent="0.35">
      <c r="A6" s="14" t="s">
        <v>2555</v>
      </c>
      <c r="B6" s="15">
        <v>49982</v>
      </c>
    </row>
    <row r="7" spans="1:2" x14ac:dyDescent="0.35">
      <c r="A7" s="14" t="s">
        <v>1671</v>
      </c>
      <c r="B7" s="15">
        <v>49922</v>
      </c>
    </row>
    <row r="8" spans="1:2" x14ac:dyDescent="0.35">
      <c r="A8" s="14" t="s">
        <v>2676</v>
      </c>
      <c r="B8" s="15">
        <v>49906</v>
      </c>
    </row>
    <row r="9" spans="1:2" x14ac:dyDescent="0.35">
      <c r="A9" s="14" t="s">
        <v>3933</v>
      </c>
      <c r="B9" s="15">
        <v>249729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0D930-FE77-4F9E-81DB-8374D2A30603}">
  <dimension ref="A3:C20"/>
  <sheetViews>
    <sheetView workbookViewId="0">
      <selection activeCell="A3" sqref="A3"/>
    </sheetView>
  </sheetViews>
  <sheetFormatPr defaultRowHeight="14.5" x14ac:dyDescent="0.35"/>
  <sheetData>
    <row r="3" spans="1:3" x14ac:dyDescent="0.35">
      <c r="A3" s="4"/>
      <c r="B3" s="5"/>
      <c r="C3" s="6"/>
    </row>
    <row r="4" spans="1:3" x14ac:dyDescent="0.35">
      <c r="A4" s="7"/>
      <c r="B4" s="8"/>
      <c r="C4" s="9"/>
    </row>
    <row r="5" spans="1:3" x14ac:dyDescent="0.35">
      <c r="A5" s="7"/>
      <c r="B5" s="8"/>
      <c r="C5" s="9"/>
    </row>
    <row r="6" spans="1:3" x14ac:dyDescent="0.35">
      <c r="A6" s="7"/>
      <c r="B6" s="8"/>
      <c r="C6" s="9"/>
    </row>
    <row r="7" spans="1:3" x14ac:dyDescent="0.35">
      <c r="A7" s="7"/>
      <c r="B7" s="8"/>
      <c r="C7" s="9"/>
    </row>
    <row r="8" spans="1:3" x14ac:dyDescent="0.35">
      <c r="A8" s="7"/>
      <c r="B8" s="8"/>
      <c r="C8" s="9"/>
    </row>
    <row r="9" spans="1:3" x14ac:dyDescent="0.35">
      <c r="A9" s="7"/>
      <c r="B9" s="8"/>
      <c r="C9" s="9"/>
    </row>
    <row r="10" spans="1:3" x14ac:dyDescent="0.35">
      <c r="A10" s="7"/>
      <c r="B10" s="8"/>
      <c r="C10" s="9"/>
    </row>
    <row r="11" spans="1:3" x14ac:dyDescent="0.35">
      <c r="A11" s="7"/>
      <c r="B11" s="8"/>
      <c r="C11" s="9"/>
    </row>
    <row r="12" spans="1:3" x14ac:dyDescent="0.35">
      <c r="A12" s="7"/>
      <c r="B12" s="8"/>
      <c r="C12" s="9"/>
    </row>
    <row r="13" spans="1:3" x14ac:dyDescent="0.35">
      <c r="A13" s="7"/>
      <c r="B13" s="8"/>
      <c r="C13" s="9"/>
    </row>
    <row r="14" spans="1:3" x14ac:dyDescent="0.35">
      <c r="A14" s="7"/>
      <c r="B14" s="8"/>
      <c r="C14" s="9"/>
    </row>
    <row r="15" spans="1:3" x14ac:dyDescent="0.35">
      <c r="A15" s="7"/>
      <c r="B15" s="8"/>
      <c r="C15" s="9"/>
    </row>
    <row r="16" spans="1:3" x14ac:dyDescent="0.35">
      <c r="A16" s="7"/>
      <c r="B16" s="8"/>
      <c r="C16" s="9"/>
    </row>
    <row r="17" spans="1:3" x14ac:dyDescent="0.35">
      <c r="A17" s="7"/>
      <c r="B17" s="8"/>
      <c r="C17" s="9"/>
    </row>
    <row r="18" spans="1:3" x14ac:dyDescent="0.35">
      <c r="A18" s="7"/>
      <c r="B18" s="8"/>
      <c r="C18" s="9"/>
    </row>
    <row r="19" spans="1:3" x14ac:dyDescent="0.35">
      <c r="A19" s="7"/>
      <c r="B19" s="8"/>
      <c r="C19" s="9"/>
    </row>
    <row r="20" spans="1:3" x14ac:dyDescent="0.35">
      <c r="A20" s="10"/>
      <c r="B20" s="11"/>
      <c r="C20" s="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002"/>
  <sheetViews>
    <sheetView tabSelected="1" zoomScale="70" zoomScaleNormal="70" workbookViewId="0">
      <selection activeCell="A12" sqref="A12"/>
    </sheetView>
  </sheetViews>
  <sheetFormatPr defaultRowHeight="14.5" x14ac:dyDescent="0.35"/>
  <cols>
    <col min="1" max="1" width="23.54296875" customWidth="1"/>
    <col min="2" max="2" width="26.81640625" customWidth="1"/>
    <col min="3" max="3" width="21" customWidth="1"/>
    <col min="4" max="4" width="19.81640625" customWidth="1"/>
    <col min="5" max="5" width="19.1796875" customWidth="1"/>
    <col min="6" max="6" width="17.54296875" customWidth="1"/>
    <col min="7" max="7" width="14.453125" customWidth="1"/>
    <col min="8" max="8" width="16.81640625" customWidth="1"/>
    <col min="9" max="9" width="14.7265625" customWidth="1"/>
    <col min="10" max="10" width="35.54296875" customWidth="1"/>
    <col min="11" max="11" width="24.7265625" customWidth="1"/>
    <col min="12" max="12" width="41.453125" customWidth="1"/>
    <col min="13" max="13" width="26.36328125" customWidth="1"/>
    <col min="14" max="14" width="11.90625" customWidth="1"/>
    <col min="15" max="15" width="17.26953125" customWidth="1"/>
    <col min="16" max="16" width="28.6328125" customWidth="1"/>
    <col min="17" max="17" width="23.7265625" customWidth="1"/>
    <col min="18" max="18" width="16.6328125" customWidth="1"/>
    <col min="19" max="19" width="21.81640625" customWidth="1"/>
    <col min="20" max="20" width="29.08984375" customWidth="1"/>
    <col min="21" max="21" width="24" customWidth="1"/>
    <col min="22" max="22" width="13.36328125" customWidth="1"/>
    <col min="23" max="23" width="12.6328125" customWidth="1"/>
    <col min="24" max="24" width="15.1796875" customWidth="1"/>
  </cols>
  <sheetData>
    <row r="1" spans="1:24" x14ac:dyDescent="0.35">
      <c r="L1" t="s">
        <v>3905</v>
      </c>
      <c r="M1" t="s">
        <v>3903</v>
      </c>
      <c r="O1" s="3"/>
      <c r="P1" s="3"/>
      <c r="Q1" s="3"/>
      <c r="R1" s="3"/>
      <c r="S1" s="3"/>
      <c r="T1" s="3"/>
      <c r="U1" s="3"/>
      <c r="V1" s="3"/>
      <c r="W1" s="3"/>
      <c r="X1" s="3"/>
    </row>
    <row r="2" spans="1:24" x14ac:dyDescent="0.35">
      <c r="A2" t="s">
        <v>0</v>
      </c>
      <c r="B2" t="s">
        <v>1</v>
      </c>
      <c r="C2" t="s">
        <v>2</v>
      </c>
      <c r="D2" s="21" t="s">
        <v>3</v>
      </c>
      <c r="E2" t="s">
        <v>4</v>
      </c>
      <c r="F2" t="s">
        <v>5</v>
      </c>
      <c r="G2" t="s">
        <v>6</v>
      </c>
      <c r="H2" t="s">
        <v>7</v>
      </c>
      <c r="I2" t="s">
        <v>8</v>
      </c>
      <c r="J2" t="s">
        <v>9</v>
      </c>
    </row>
    <row r="3" spans="1:24" x14ac:dyDescent="0.35">
      <c r="A3" t="s">
        <v>2676</v>
      </c>
      <c r="B3" t="s">
        <v>2677</v>
      </c>
      <c r="C3">
        <v>83955</v>
      </c>
      <c r="D3">
        <v>312</v>
      </c>
      <c r="E3">
        <v>49906</v>
      </c>
      <c r="F3">
        <v>33</v>
      </c>
      <c r="G3">
        <v>40</v>
      </c>
      <c r="H3" t="b">
        <v>0</v>
      </c>
      <c r="I3">
        <f>--H3</f>
        <v>0</v>
      </c>
      <c r="J3" t="str">
        <f>IF(D3&gt;750, "751-850 (Excellent)", IF(D3&gt;600, "601-750 (Good)", IF(D3&gt;450, "451-600 (Fair)", "300-450 (Poor)")))</f>
        <v>300-450 (Poor)</v>
      </c>
      <c r="K3" s="1"/>
      <c r="L3" t="s">
        <v>14</v>
      </c>
      <c r="M3">
        <f>SUM(I:I)</f>
        <v>879</v>
      </c>
    </row>
    <row r="4" spans="1:24" x14ac:dyDescent="0.35">
      <c r="A4" t="s">
        <v>3571</v>
      </c>
      <c r="B4" t="s">
        <v>3572</v>
      </c>
      <c r="C4">
        <v>77537</v>
      </c>
      <c r="D4">
        <v>480</v>
      </c>
      <c r="E4">
        <v>49920</v>
      </c>
      <c r="F4">
        <v>21</v>
      </c>
      <c r="G4">
        <v>40</v>
      </c>
      <c r="H4" t="b">
        <v>0</v>
      </c>
      <c r="I4">
        <f t="shared" ref="I4:I67" si="0">--H4</f>
        <v>0</v>
      </c>
      <c r="J4" t="str">
        <f t="shared" ref="J4:J67" si="1">IF(D4&gt;750, "751-850 (Excellent)", IF(D4&gt;600, "601-750 (Good)", IF(D4&gt;450, "451-600 (Fair)", "300-450 (Poor)")))</f>
        <v>451-600 (Fair)</v>
      </c>
      <c r="K4" s="1"/>
      <c r="L4" t="s">
        <v>17</v>
      </c>
      <c r="M4">
        <f>COUNT(I:I) - SUM(I:I)</f>
        <v>1121</v>
      </c>
    </row>
    <row r="5" spans="1:24" x14ac:dyDescent="0.35">
      <c r="A5" t="s">
        <v>1671</v>
      </c>
      <c r="B5" t="s">
        <v>1672</v>
      </c>
      <c r="C5">
        <v>87654</v>
      </c>
      <c r="D5">
        <v>333</v>
      </c>
      <c r="E5">
        <v>49922</v>
      </c>
      <c r="F5">
        <v>10</v>
      </c>
      <c r="G5">
        <v>40</v>
      </c>
      <c r="H5" t="b">
        <v>0</v>
      </c>
      <c r="I5">
        <f t="shared" si="0"/>
        <v>0</v>
      </c>
      <c r="J5" t="str">
        <f t="shared" si="1"/>
        <v>300-450 (Poor)</v>
      </c>
      <c r="K5" s="1"/>
      <c r="L5" t="s">
        <v>20</v>
      </c>
      <c r="M5">
        <f>AVERAGE(I:I)</f>
        <v>0.4395</v>
      </c>
    </row>
    <row r="6" spans="1:24" x14ac:dyDescent="0.35">
      <c r="A6" t="s">
        <v>2555</v>
      </c>
      <c r="B6" t="s">
        <v>2556</v>
      </c>
      <c r="C6">
        <v>104607</v>
      </c>
      <c r="D6">
        <v>495</v>
      </c>
      <c r="E6">
        <v>49982</v>
      </c>
      <c r="F6">
        <v>8</v>
      </c>
      <c r="G6">
        <v>40</v>
      </c>
      <c r="H6" t="b">
        <v>0</v>
      </c>
      <c r="I6">
        <f t="shared" si="0"/>
        <v>0</v>
      </c>
      <c r="J6" t="str">
        <f t="shared" si="1"/>
        <v>451-600 (Fair)</v>
      </c>
      <c r="K6" s="1"/>
    </row>
    <row r="7" spans="1:24" x14ac:dyDescent="0.35">
      <c r="A7" t="s">
        <v>1109</v>
      </c>
      <c r="B7" t="s">
        <v>1110</v>
      </c>
      <c r="C7">
        <v>34722</v>
      </c>
      <c r="D7">
        <v>532</v>
      </c>
      <c r="E7">
        <v>49999</v>
      </c>
      <c r="F7">
        <v>38</v>
      </c>
      <c r="G7">
        <v>25</v>
      </c>
      <c r="H7" t="b">
        <v>0</v>
      </c>
      <c r="I7">
        <f t="shared" si="0"/>
        <v>0</v>
      </c>
      <c r="J7" t="str">
        <f t="shared" si="1"/>
        <v>451-600 (Fair)</v>
      </c>
      <c r="K7" s="1"/>
      <c r="L7" t="s">
        <v>25</v>
      </c>
      <c r="M7">
        <f>AVERAGEIF(I:I, 1, D:D)</f>
        <v>703.70420932878267</v>
      </c>
    </row>
    <row r="8" spans="1:24" x14ac:dyDescent="0.35">
      <c r="A8" t="s">
        <v>1092</v>
      </c>
      <c r="B8" t="s">
        <v>1093</v>
      </c>
      <c r="C8">
        <v>103519</v>
      </c>
      <c r="D8">
        <v>725</v>
      </c>
      <c r="E8">
        <v>49896</v>
      </c>
      <c r="F8">
        <v>6</v>
      </c>
      <c r="G8">
        <v>65</v>
      </c>
      <c r="H8" t="b">
        <v>1</v>
      </c>
      <c r="I8">
        <f t="shared" si="0"/>
        <v>1</v>
      </c>
      <c r="J8" t="str">
        <f t="shared" si="1"/>
        <v>601-750 (Good)</v>
      </c>
      <c r="K8" s="1"/>
      <c r="L8" t="s">
        <v>28</v>
      </c>
      <c r="M8">
        <f>AVERAGEIF(I:I, 0, D:D)</f>
        <v>472.19982158786797</v>
      </c>
    </row>
    <row r="9" spans="1:24" x14ac:dyDescent="0.35">
      <c r="A9" t="s">
        <v>2389</v>
      </c>
      <c r="B9" t="s">
        <v>2390</v>
      </c>
      <c r="C9">
        <v>69824</v>
      </c>
      <c r="D9">
        <v>778</v>
      </c>
      <c r="E9">
        <v>49865</v>
      </c>
      <c r="F9">
        <v>15</v>
      </c>
      <c r="G9">
        <v>70</v>
      </c>
      <c r="H9" t="b">
        <v>1</v>
      </c>
      <c r="I9">
        <f t="shared" si="0"/>
        <v>1</v>
      </c>
      <c r="J9" t="str">
        <f t="shared" si="1"/>
        <v>751-850 (Excellent)</v>
      </c>
      <c r="K9" s="1"/>
      <c r="L9" t="s">
        <v>35</v>
      </c>
      <c r="M9">
        <f>AVERAGEIF(I:I, 1, F:F)</f>
        <v>21.829351535836178</v>
      </c>
    </row>
    <row r="10" spans="1:24" x14ac:dyDescent="0.35">
      <c r="A10" t="s">
        <v>2206</v>
      </c>
      <c r="B10" t="s">
        <v>2207</v>
      </c>
      <c r="C10">
        <v>59045</v>
      </c>
      <c r="D10">
        <v>778</v>
      </c>
      <c r="E10">
        <v>49837</v>
      </c>
      <c r="F10">
        <v>31</v>
      </c>
      <c r="G10">
        <v>70</v>
      </c>
      <c r="H10" t="b">
        <v>1</v>
      </c>
      <c r="I10">
        <f t="shared" si="0"/>
        <v>1</v>
      </c>
      <c r="J10" t="str">
        <f t="shared" si="1"/>
        <v>751-850 (Excellent)</v>
      </c>
      <c r="K10" s="1"/>
      <c r="L10" t="s">
        <v>38</v>
      </c>
      <c r="M10">
        <f>AVERAGEIF(I:I, 0, F:F)</f>
        <v>19.352363960749329</v>
      </c>
    </row>
    <row r="11" spans="1:24" x14ac:dyDescent="0.35">
      <c r="A11" t="s">
        <v>3472</v>
      </c>
      <c r="B11" t="s">
        <v>3473</v>
      </c>
      <c r="C11">
        <v>109964</v>
      </c>
      <c r="D11">
        <v>628</v>
      </c>
      <c r="E11">
        <v>49834</v>
      </c>
      <c r="F11">
        <v>13</v>
      </c>
      <c r="G11">
        <v>60</v>
      </c>
      <c r="H11" t="b">
        <v>1</v>
      </c>
      <c r="I11">
        <f t="shared" si="0"/>
        <v>1</v>
      </c>
      <c r="J11" t="str">
        <f t="shared" si="1"/>
        <v>601-750 (Good)</v>
      </c>
      <c r="K11" s="1"/>
    </row>
    <row r="12" spans="1:24" x14ac:dyDescent="0.35">
      <c r="A12" t="s">
        <v>2488</v>
      </c>
      <c r="B12" t="s">
        <v>2489</v>
      </c>
      <c r="C12">
        <v>67762</v>
      </c>
      <c r="D12">
        <v>824</v>
      </c>
      <c r="E12">
        <v>49724</v>
      </c>
      <c r="F12">
        <v>1</v>
      </c>
      <c r="G12">
        <v>60</v>
      </c>
      <c r="H12" t="b">
        <v>1</v>
      </c>
      <c r="I12">
        <f t="shared" si="0"/>
        <v>1</v>
      </c>
      <c r="J12" t="str">
        <f t="shared" si="1"/>
        <v>751-850 (Excellent)</v>
      </c>
      <c r="K12" s="1"/>
    </row>
    <row r="13" spans="1:24" x14ac:dyDescent="0.35">
      <c r="A13" t="s">
        <v>940</v>
      </c>
      <c r="B13" t="s">
        <v>941</v>
      </c>
      <c r="C13">
        <v>111416</v>
      </c>
      <c r="D13">
        <v>580</v>
      </c>
      <c r="E13">
        <v>49621</v>
      </c>
      <c r="F13">
        <v>16</v>
      </c>
      <c r="G13">
        <v>60</v>
      </c>
      <c r="H13" t="b">
        <v>1</v>
      </c>
      <c r="I13">
        <f t="shared" si="0"/>
        <v>1</v>
      </c>
      <c r="J13" t="str">
        <f t="shared" si="1"/>
        <v>451-600 (Fair)</v>
      </c>
      <c r="K13" s="1"/>
    </row>
    <row r="14" spans="1:24" x14ac:dyDescent="0.35">
      <c r="A14" t="s">
        <v>1467</v>
      </c>
      <c r="B14" t="s">
        <v>1468</v>
      </c>
      <c r="C14">
        <v>134336</v>
      </c>
      <c r="D14">
        <v>404</v>
      </c>
      <c r="E14">
        <v>49590</v>
      </c>
      <c r="F14">
        <v>10</v>
      </c>
      <c r="G14">
        <v>50</v>
      </c>
      <c r="H14" t="b">
        <v>0</v>
      </c>
      <c r="I14">
        <f t="shared" si="0"/>
        <v>0</v>
      </c>
      <c r="J14" t="str">
        <f t="shared" si="1"/>
        <v>300-450 (Poor)</v>
      </c>
      <c r="K14" s="1"/>
      <c r="L14" t="s">
        <v>3904</v>
      </c>
      <c r="M14" t="s">
        <v>3903</v>
      </c>
    </row>
    <row r="15" spans="1:24" x14ac:dyDescent="0.35">
      <c r="A15" t="s">
        <v>2484</v>
      </c>
      <c r="B15" t="s">
        <v>2485</v>
      </c>
      <c r="C15">
        <v>34278</v>
      </c>
      <c r="D15">
        <v>434</v>
      </c>
      <c r="E15">
        <v>49531</v>
      </c>
      <c r="F15">
        <v>17</v>
      </c>
      <c r="G15">
        <v>25</v>
      </c>
      <c r="H15" t="b">
        <v>0</v>
      </c>
      <c r="I15">
        <f t="shared" si="0"/>
        <v>0</v>
      </c>
      <c r="J15" t="str">
        <f t="shared" si="1"/>
        <v>300-450 (Poor)</v>
      </c>
      <c r="K15" s="1"/>
      <c r="L15" t="s">
        <v>3902</v>
      </c>
      <c r="M15">
        <f>CORREL(D:D, I:I)</f>
        <v>0.71578787947115385</v>
      </c>
    </row>
    <row r="16" spans="1:24" x14ac:dyDescent="0.35">
      <c r="A16" t="s">
        <v>576</v>
      </c>
      <c r="B16" t="s">
        <v>577</v>
      </c>
      <c r="C16">
        <v>97839</v>
      </c>
      <c r="D16">
        <v>468</v>
      </c>
      <c r="E16">
        <v>49528</v>
      </c>
      <c r="F16">
        <v>15</v>
      </c>
      <c r="G16">
        <v>40</v>
      </c>
      <c r="H16" t="b">
        <v>0</v>
      </c>
      <c r="I16">
        <f t="shared" si="0"/>
        <v>0</v>
      </c>
      <c r="J16" t="str">
        <f t="shared" si="1"/>
        <v>451-600 (Fair)</v>
      </c>
      <c r="K16" s="1"/>
      <c r="L16" t="s">
        <v>3899</v>
      </c>
      <c r="M16">
        <f>CORREL(G:G, I:I)</f>
        <v>0.82141534822923357</v>
      </c>
    </row>
    <row r="17" spans="1:21" x14ac:dyDescent="0.35">
      <c r="A17" t="s">
        <v>3575</v>
      </c>
      <c r="B17" t="s">
        <v>3576</v>
      </c>
      <c r="C17">
        <v>119873</v>
      </c>
      <c r="D17">
        <v>845</v>
      </c>
      <c r="E17">
        <v>49454</v>
      </c>
      <c r="F17">
        <v>36</v>
      </c>
      <c r="G17">
        <v>85</v>
      </c>
      <c r="H17" t="b">
        <v>1</v>
      </c>
      <c r="I17">
        <f t="shared" si="0"/>
        <v>1</v>
      </c>
      <c r="J17" t="str">
        <f t="shared" si="1"/>
        <v>751-850 (Excellent)</v>
      </c>
      <c r="K17" s="1"/>
      <c r="L17" t="s">
        <v>3900</v>
      </c>
      <c r="M17">
        <f>CORREL(C:C, I:I)</f>
        <v>0.23806554260042209</v>
      </c>
    </row>
    <row r="18" spans="1:21" x14ac:dyDescent="0.35">
      <c r="A18" t="s">
        <v>2911</v>
      </c>
      <c r="B18" t="s">
        <v>2912</v>
      </c>
      <c r="C18">
        <v>79441</v>
      </c>
      <c r="D18">
        <v>748</v>
      </c>
      <c r="E18">
        <v>49388</v>
      </c>
      <c r="F18">
        <v>9</v>
      </c>
      <c r="G18">
        <v>70</v>
      </c>
      <c r="H18" t="b">
        <v>1</v>
      </c>
      <c r="I18">
        <f t="shared" si="0"/>
        <v>1</v>
      </c>
      <c r="J18" t="str">
        <f t="shared" si="1"/>
        <v>601-750 (Good)</v>
      </c>
      <c r="K18" s="1"/>
      <c r="L18" t="s">
        <v>3901</v>
      </c>
      <c r="M18">
        <f>CORREL(E:E, I:I)</f>
        <v>-0.15785921549620474</v>
      </c>
    </row>
    <row r="19" spans="1:21" x14ac:dyDescent="0.35">
      <c r="A19" t="s">
        <v>3619</v>
      </c>
      <c r="B19" t="s">
        <v>3620</v>
      </c>
      <c r="C19">
        <v>73713</v>
      </c>
      <c r="D19">
        <v>686</v>
      </c>
      <c r="E19">
        <v>49384</v>
      </c>
      <c r="F19">
        <v>0</v>
      </c>
      <c r="G19">
        <v>45</v>
      </c>
      <c r="H19" t="b">
        <v>0</v>
      </c>
      <c r="I19">
        <f t="shared" si="0"/>
        <v>0</v>
      </c>
      <c r="J19" t="str">
        <f t="shared" si="1"/>
        <v>601-750 (Good)</v>
      </c>
      <c r="K19" s="1"/>
    </row>
    <row r="20" spans="1:21" x14ac:dyDescent="0.35">
      <c r="A20" t="s">
        <v>3330</v>
      </c>
      <c r="B20" t="s">
        <v>3331</v>
      </c>
      <c r="C20">
        <v>125991</v>
      </c>
      <c r="D20">
        <v>473</v>
      </c>
      <c r="E20">
        <v>49356</v>
      </c>
      <c r="F20">
        <v>32</v>
      </c>
      <c r="G20">
        <v>50</v>
      </c>
      <c r="H20" t="b">
        <v>0</v>
      </c>
      <c r="I20">
        <f t="shared" si="0"/>
        <v>0</v>
      </c>
      <c r="J20" t="str">
        <f t="shared" si="1"/>
        <v>451-600 (Fair)</v>
      </c>
      <c r="K20" s="1"/>
    </row>
    <row r="21" spans="1:21" x14ac:dyDescent="0.35">
      <c r="A21" t="s">
        <v>1733</v>
      </c>
      <c r="B21" t="s">
        <v>1734</v>
      </c>
      <c r="C21">
        <v>130898</v>
      </c>
      <c r="D21">
        <v>325</v>
      </c>
      <c r="E21">
        <v>49329</v>
      </c>
      <c r="F21">
        <v>14</v>
      </c>
      <c r="G21">
        <v>50</v>
      </c>
      <c r="H21" t="b">
        <v>0</v>
      </c>
      <c r="I21">
        <f t="shared" si="0"/>
        <v>0</v>
      </c>
      <c r="J21" t="str">
        <f t="shared" si="1"/>
        <v>300-450 (Poor)</v>
      </c>
      <c r="K21" s="1"/>
    </row>
    <row r="22" spans="1:21" x14ac:dyDescent="0.35">
      <c r="A22" t="s">
        <v>2522</v>
      </c>
      <c r="B22" t="s">
        <v>2523</v>
      </c>
      <c r="C22">
        <v>45043</v>
      </c>
      <c r="D22">
        <v>583</v>
      </c>
      <c r="E22">
        <v>49317</v>
      </c>
      <c r="F22">
        <v>39</v>
      </c>
      <c r="G22">
        <v>40</v>
      </c>
      <c r="H22" t="b">
        <v>0</v>
      </c>
      <c r="I22">
        <f t="shared" si="0"/>
        <v>0</v>
      </c>
      <c r="J22" t="str">
        <f t="shared" si="1"/>
        <v>451-600 (Fair)</v>
      </c>
      <c r="K22" s="1"/>
      <c r="L22" s="13" t="s">
        <v>3937</v>
      </c>
      <c r="M22" t="s">
        <v>3936</v>
      </c>
    </row>
    <row r="23" spans="1:21" x14ac:dyDescent="0.35">
      <c r="A23" t="s">
        <v>1537</v>
      </c>
      <c r="B23" t="s">
        <v>1538</v>
      </c>
      <c r="C23">
        <v>124155</v>
      </c>
      <c r="D23">
        <v>782</v>
      </c>
      <c r="E23">
        <v>49296</v>
      </c>
      <c r="F23">
        <v>26</v>
      </c>
      <c r="G23">
        <v>85</v>
      </c>
      <c r="H23" t="b">
        <v>1</v>
      </c>
      <c r="I23">
        <f t="shared" si="0"/>
        <v>1</v>
      </c>
      <c r="J23" t="str">
        <f t="shared" si="1"/>
        <v>751-850 (Excellent)</v>
      </c>
      <c r="K23" s="1"/>
      <c r="L23" s="14" t="s">
        <v>3929</v>
      </c>
      <c r="M23" s="15">
        <v>46</v>
      </c>
      <c r="O23" s="13" t="s">
        <v>3938</v>
      </c>
      <c r="P23" t="s">
        <v>3939</v>
      </c>
    </row>
    <row r="24" spans="1:21" x14ac:dyDescent="0.35">
      <c r="A24" t="s">
        <v>452</v>
      </c>
      <c r="B24" t="s">
        <v>453</v>
      </c>
      <c r="C24">
        <v>140319</v>
      </c>
      <c r="D24">
        <v>314</v>
      </c>
      <c r="E24">
        <v>49274</v>
      </c>
      <c r="F24">
        <v>21</v>
      </c>
      <c r="G24">
        <v>50</v>
      </c>
      <c r="H24" t="b">
        <v>0</v>
      </c>
      <c r="I24">
        <f t="shared" si="0"/>
        <v>0</v>
      </c>
      <c r="J24" t="str">
        <f t="shared" si="1"/>
        <v>300-450 (Poor)</v>
      </c>
      <c r="K24" s="1"/>
      <c r="L24" s="14" t="s">
        <v>3930</v>
      </c>
      <c r="M24" s="15">
        <v>76</v>
      </c>
      <c r="O24" s="15">
        <v>113360</v>
      </c>
      <c r="P24" s="15">
        <v>40882</v>
      </c>
      <c r="R24" s="13" t="s">
        <v>3942</v>
      </c>
      <c r="S24" s="13" t="s">
        <v>3940</v>
      </c>
      <c r="T24" t="s">
        <v>3941</v>
      </c>
    </row>
    <row r="25" spans="1:21" x14ac:dyDescent="0.35">
      <c r="A25" t="s">
        <v>1683</v>
      </c>
      <c r="B25" t="s">
        <v>1684</v>
      </c>
      <c r="C25">
        <v>74020</v>
      </c>
      <c r="D25">
        <v>753</v>
      </c>
      <c r="E25">
        <v>49228</v>
      </c>
      <c r="F25">
        <v>17</v>
      </c>
      <c r="G25">
        <v>70</v>
      </c>
      <c r="H25" t="b">
        <v>1</v>
      </c>
      <c r="I25">
        <f t="shared" si="0"/>
        <v>1</v>
      </c>
      <c r="J25" t="str">
        <f t="shared" si="1"/>
        <v>751-850 (Excellent)</v>
      </c>
      <c r="K25" s="1"/>
      <c r="L25" s="14" t="s">
        <v>3931</v>
      </c>
      <c r="M25" s="15">
        <v>400</v>
      </c>
      <c r="R25" s="14" t="s">
        <v>3934</v>
      </c>
      <c r="S25" s="15">
        <v>93398869</v>
      </c>
      <c r="T25" s="15">
        <v>30596553</v>
      </c>
    </row>
    <row r="26" spans="1:21" x14ac:dyDescent="0.35">
      <c r="A26" t="s">
        <v>1915</v>
      </c>
      <c r="B26" t="s">
        <v>1916</v>
      </c>
      <c r="C26">
        <v>56130</v>
      </c>
      <c r="D26">
        <v>346</v>
      </c>
      <c r="E26">
        <v>49222</v>
      </c>
      <c r="F26">
        <v>20</v>
      </c>
      <c r="G26">
        <v>35</v>
      </c>
      <c r="H26" t="b">
        <v>0</v>
      </c>
      <c r="I26">
        <f t="shared" si="0"/>
        <v>0</v>
      </c>
      <c r="J26" t="str">
        <f t="shared" si="1"/>
        <v>300-450 (Poor)</v>
      </c>
      <c r="K26" s="1"/>
      <c r="L26" s="14" t="s">
        <v>3932</v>
      </c>
      <c r="M26" s="15">
        <v>357</v>
      </c>
      <c r="R26" s="14" t="s">
        <v>3935</v>
      </c>
      <c r="S26" s="15">
        <v>87773085</v>
      </c>
      <c r="T26" s="15">
        <v>20020453</v>
      </c>
    </row>
    <row r="27" spans="1:21" x14ac:dyDescent="0.35">
      <c r="A27" t="s">
        <v>1374</v>
      </c>
      <c r="B27" t="s">
        <v>1375</v>
      </c>
      <c r="C27">
        <v>46334</v>
      </c>
      <c r="D27">
        <v>643</v>
      </c>
      <c r="E27">
        <v>49218</v>
      </c>
      <c r="F27">
        <v>3</v>
      </c>
      <c r="G27">
        <v>30</v>
      </c>
      <c r="H27" t="b">
        <v>0</v>
      </c>
      <c r="I27">
        <f t="shared" si="0"/>
        <v>0</v>
      </c>
      <c r="J27" t="str">
        <f t="shared" si="1"/>
        <v>601-750 (Good)</v>
      </c>
      <c r="K27" s="1"/>
      <c r="L27" s="14" t="s">
        <v>3933</v>
      </c>
      <c r="M27" s="15">
        <v>879</v>
      </c>
      <c r="R27" s="14" t="s">
        <v>3933</v>
      </c>
      <c r="S27" s="15">
        <v>181171954</v>
      </c>
      <c r="T27" s="15">
        <v>50617006</v>
      </c>
    </row>
    <row r="28" spans="1:21" x14ac:dyDescent="0.35">
      <c r="A28" t="s">
        <v>3538</v>
      </c>
      <c r="B28" t="s">
        <v>3539</v>
      </c>
      <c r="C28">
        <v>146052</v>
      </c>
      <c r="D28">
        <v>648</v>
      </c>
      <c r="E28">
        <v>49139</v>
      </c>
      <c r="F28">
        <v>31</v>
      </c>
      <c r="G28">
        <v>65</v>
      </c>
      <c r="H28" t="b">
        <v>1</v>
      </c>
      <c r="I28">
        <f t="shared" si="0"/>
        <v>1</v>
      </c>
      <c r="J28" t="str">
        <f t="shared" si="1"/>
        <v>601-750 (Good)</v>
      </c>
      <c r="K28" s="1"/>
    </row>
    <row r="29" spans="1:21" x14ac:dyDescent="0.35">
      <c r="A29" t="s">
        <v>3887</v>
      </c>
      <c r="B29" t="s">
        <v>3888</v>
      </c>
      <c r="C29">
        <v>120023</v>
      </c>
      <c r="D29">
        <v>318</v>
      </c>
      <c r="E29">
        <v>49124</v>
      </c>
      <c r="F29">
        <v>3</v>
      </c>
      <c r="G29">
        <v>35</v>
      </c>
      <c r="H29" t="b">
        <v>0</v>
      </c>
      <c r="I29">
        <f t="shared" si="0"/>
        <v>0</v>
      </c>
      <c r="J29" t="str">
        <f t="shared" si="1"/>
        <v>300-450 (Poor)</v>
      </c>
      <c r="K29" s="1"/>
    </row>
    <row r="30" spans="1:21" x14ac:dyDescent="0.35">
      <c r="A30" t="s">
        <v>1917</v>
      </c>
      <c r="B30" t="s">
        <v>1918</v>
      </c>
      <c r="C30">
        <v>139999</v>
      </c>
      <c r="D30">
        <v>402</v>
      </c>
      <c r="E30">
        <v>49121</v>
      </c>
      <c r="F30">
        <v>24</v>
      </c>
      <c r="G30">
        <v>50</v>
      </c>
      <c r="H30" t="b">
        <v>0</v>
      </c>
      <c r="I30">
        <f t="shared" si="0"/>
        <v>0</v>
      </c>
      <c r="J30" t="str">
        <f t="shared" si="1"/>
        <v>300-450 (Poor)</v>
      </c>
      <c r="K30" s="1"/>
    </row>
    <row r="31" spans="1:21" ht="15" thickBot="1" x14ac:dyDescent="0.4">
      <c r="A31" t="s">
        <v>1076</v>
      </c>
      <c r="B31" t="s">
        <v>1077</v>
      </c>
      <c r="C31">
        <v>113507</v>
      </c>
      <c r="D31">
        <v>688</v>
      </c>
      <c r="E31">
        <v>49080</v>
      </c>
      <c r="F31">
        <v>11</v>
      </c>
      <c r="G31">
        <v>70</v>
      </c>
      <c r="H31" t="b">
        <v>1</v>
      </c>
      <c r="I31">
        <f t="shared" si="0"/>
        <v>1</v>
      </c>
      <c r="J31" t="str">
        <f t="shared" si="1"/>
        <v>601-750 (Good)</v>
      </c>
      <c r="K31" s="1"/>
    </row>
    <row r="32" spans="1:21" x14ac:dyDescent="0.35">
      <c r="A32" t="s">
        <v>2795</v>
      </c>
      <c r="B32" t="s">
        <v>2796</v>
      </c>
      <c r="C32">
        <v>140284</v>
      </c>
      <c r="D32">
        <v>513</v>
      </c>
      <c r="E32">
        <v>49068</v>
      </c>
      <c r="F32">
        <v>39</v>
      </c>
      <c r="G32">
        <v>50</v>
      </c>
      <c r="H32" t="b">
        <v>0</v>
      </c>
      <c r="I32">
        <f t="shared" si="0"/>
        <v>0</v>
      </c>
      <c r="J32" t="str">
        <f t="shared" si="1"/>
        <v>451-600 (Fair)</v>
      </c>
      <c r="K32" s="1"/>
      <c r="L32" s="3" t="s">
        <v>3922</v>
      </c>
      <c r="M32" s="3"/>
      <c r="N32" s="3"/>
      <c r="O32" s="3"/>
      <c r="P32" s="3"/>
      <c r="Q32" s="3"/>
      <c r="R32" s="3"/>
      <c r="S32" s="3"/>
      <c r="T32" s="3"/>
      <c r="U32" s="3"/>
    </row>
    <row r="33" spans="1:21" x14ac:dyDescent="0.35">
      <c r="A33" t="s">
        <v>3022</v>
      </c>
      <c r="B33" t="s">
        <v>3023</v>
      </c>
      <c r="C33">
        <v>40527</v>
      </c>
      <c r="D33">
        <v>602</v>
      </c>
      <c r="E33">
        <v>49065</v>
      </c>
      <c r="F33">
        <v>3</v>
      </c>
      <c r="G33">
        <v>30</v>
      </c>
      <c r="H33" t="b">
        <v>0</v>
      </c>
      <c r="I33">
        <f t="shared" si="0"/>
        <v>0</v>
      </c>
      <c r="J33" t="str">
        <f t="shared" si="1"/>
        <v>601-750 (Good)</v>
      </c>
      <c r="K33" s="1"/>
      <c r="L33" s="2" t="s">
        <v>2</v>
      </c>
      <c r="M33" s="2" t="s">
        <v>3923</v>
      </c>
      <c r="N33" s="2" t="s">
        <v>3</v>
      </c>
      <c r="O33" s="2" t="s">
        <v>3924</v>
      </c>
      <c r="P33" s="2" t="s">
        <v>4</v>
      </c>
      <c r="Q33" s="2" t="s">
        <v>3925</v>
      </c>
      <c r="R33" s="2" t="s">
        <v>5</v>
      </c>
      <c r="S33" s="2" t="s">
        <v>3926</v>
      </c>
      <c r="T33" s="2" t="s">
        <v>6</v>
      </c>
      <c r="U33" s="2" t="s">
        <v>3927</v>
      </c>
    </row>
    <row r="34" spans="1:21" x14ac:dyDescent="0.35">
      <c r="A34" t="s">
        <v>3391</v>
      </c>
      <c r="B34" t="s">
        <v>3392</v>
      </c>
      <c r="C34">
        <v>91385</v>
      </c>
      <c r="D34">
        <v>519</v>
      </c>
      <c r="E34">
        <v>49065</v>
      </c>
      <c r="F34">
        <v>1</v>
      </c>
      <c r="G34">
        <v>25</v>
      </c>
      <c r="H34" t="b">
        <v>0</v>
      </c>
      <c r="I34">
        <f t="shared" si="0"/>
        <v>0</v>
      </c>
      <c r="J34" t="str">
        <f t="shared" si="1"/>
        <v>451-600 (Fair)</v>
      </c>
      <c r="K34" s="1"/>
      <c r="L34" s="2" t="s">
        <v>3906</v>
      </c>
      <c r="M34" s="2">
        <v>90585.976999999999</v>
      </c>
      <c r="N34" s="2" t="s">
        <v>3906</v>
      </c>
      <c r="O34" s="2">
        <v>573.94600000000003</v>
      </c>
      <c r="P34" s="2" t="s">
        <v>3906</v>
      </c>
      <c r="Q34" s="2">
        <v>25308.503000000001</v>
      </c>
      <c r="R34" s="2" t="s">
        <v>3906</v>
      </c>
      <c r="S34" s="2">
        <v>20.440999999999999</v>
      </c>
      <c r="T34" s="2" t="s">
        <v>3906</v>
      </c>
      <c r="U34" s="2">
        <v>56.68</v>
      </c>
    </row>
    <row r="35" spans="1:21" x14ac:dyDescent="0.35">
      <c r="A35" t="s">
        <v>2291</v>
      </c>
      <c r="B35" t="s">
        <v>2292</v>
      </c>
      <c r="C35">
        <v>43176</v>
      </c>
      <c r="D35">
        <v>446</v>
      </c>
      <c r="E35">
        <v>49041</v>
      </c>
      <c r="F35">
        <v>12</v>
      </c>
      <c r="G35">
        <v>25</v>
      </c>
      <c r="H35" t="b">
        <v>0</v>
      </c>
      <c r="I35">
        <f t="shared" si="0"/>
        <v>0</v>
      </c>
      <c r="J35" t="str">
        <f t="shared" si="1"/>
        <v>300-450 (Poor)</v>
      </c>
      <c r="K35" s="1"/>
      <c r="L35" s="2" t="s">
        <v>3907</v>
      </c>
      <c r="M35" s="2">
        <v>771.17232691411743</v>
      </c>
      <c r="N35" s="2" t="s">
        <v>3907</v>
      </c>
      <c r="O35" s="2">
        <v>3.5903413232461201</v>
      </c>
      <c r="P35" s="2" t="s">
        <v>3907</v>
      </c>
      <c r="Q35" s="2">
        <v>317.68533626441462</v>
      </c>
      <c r="R35" s="2" t="s">
        <v>3907</v>
      </c>
      <c r="S35" s="2">
        <v>0.26335990340095372</v>
      </c>
      <c r="T35" s="2" t="s">
        <v>3907</v>
      </c>
      <c r="U35" s="2">
        <v>0.41675909596796573</v>
      </c>
    </row>
    <row r="36" spans="1:21" x14ac:dyDescent="0.35">
      <c r="A36" t="s">
        <v>653</v>
      </c>
      <c r="B36" t="s">
        <v>654</v>
      </c>
      <c r="C36">
        <v>132841</v>
      </c>
      <c r="D36">
        <v>575</v>
      </c>
      <c r="E36">
        <v>49033</v>
      </c>
      <c r="F36">
        <v>7</v>
      </c>
      <c r="G36">
        <v>45</v>
      </c>
      <c r="H36" t="b">
        <v>0</v>
      </c>
      <c r="I36">
        <f t="shared" si="0"/>
        <v>0</v>
      </c>
      <c r="J36" t="str">
        <f t="shared" si="1"/>
        <v>451-600 (Fair)</v>
      </c>
      <c r="K36" s="1"/>
      <c r="L36" s="2" t="s">
        <v>3908</v>
      </c>
      <c r="M36" s="2">
        <v>90387.5</v>
      </c>
      <c r="N36" s="2" t="s">
        <v>3908</v>
      </c>
      <c r="O36" s="2">
        <v>576</v>
      </c>
      <c r="P36" s="2" t="s">
        <v>3908</v>
      </c>
      <c r="Q36" s="2">
        <v>25661.5</v>
      </c>
      <c r="R36" s="2" t="s">
        <v>3908</v>
      </c>
      <c r="S36" s="2">
        <v>21</v>
      </c>
      <c r="T36" s="2" t="s">
        <v>3908</v>
      </c>
      <c r="U36" s="2">
        <v>55</v>
      </c>
    </row>
    <row r="37" spans="1:21" x14ac:dyDescent="0.35">
      <c r="A37" t="s">
        <v>2860</v>
      </c>
      <c r="B37" t="s">
        <v>2861</v>
      </c>
      <c r="C37">
        <v>141989</v>
      </c>
      <c r="D37">
        <v>465</v>
      </c>
      <c r="E37">
        <v>49008</v>
      </c>
      <c r="F37">
        <v>12</v>
      </c>
      <c r="G37">
        <v>50</v>
      </c>
      <c r="H37" t="b">
        <v>0</v>
      </c>
      <c r="I37">
        <f t="shared" si="0"/>
        <v>0</v>
      </c>
      <c r="J37" t="str">
        <f t="shared" si="1"/>
        <v>451-600 (Fair)</v>
      </c>
      <c r="K37" s="1"/>
      <c r="L37" s="2" t="s">
        <v>3909</v>
      </c>
      <c r="M37" s="2">
        <v>104177</v>
      </c>
      <c r="N37" s="2" t="s">
        <v>3909</v>
      </c>
      <c r="O37" s="2">
        <v>395</v>
      </c>
      <c r="P37" s="2" t="s">
        <v>3909</v>
      </c>
      <c r="Q37" s="2">
        <v>9800</v>
      </c>
      <c r="R37" s="2" t="s">
        <v>3909</v>
      </c>
      <c r="S37" s="2">
        <v>23</v>
      </c>
      <c r="T37" s="2" t="s">
        <v>3909</v>
      </c>
      <c r="U37" s="2">
        <v>50</v>
      </c>
    </row>
    <row r="38" spans="1:21" x14ac:dyDescent="0.35">
      <c r="A38" t="s">
        <v>2447</v>
      </c>
      <c r="B38" t="s">
        <v>2448</v>
      </c>
      <c r="C38">
        <v>57235</v>
      </c>
      <c r="D38">
        <v>736</v>
      </c>
      <c r="E38">
        <v>48978</v>
      </c>
      <c r="F38">
        <v>28</v>
      </c>
      <c r="G38">
        <v>60</v>
      </c>
      <c r="H38" t="b">
        <v>1</v>
      </c>
      <c r="I38">
        <f t="shared" si="0"/>
        <v>1</v>
      </c>
      <c r="J38" t="str">
        <f t="shared" si="1"/>
        <v>601-750 (Good)</v>
      </c>
      <c r="K38" s="1"/>
      <c r="L38" s="2" t="s">
        <v>3910</v>
      </c>
      <c r="M38" s="2">
        <v>34487.874906933146</v>
      </c>
      <c r="N38" s="2" t="s">
        <v>3910</v>
      </c>
      <c r="O38" s="2">
        <v>160.56494522409741</v>
      </c>
      <c r="P38" s="2" t="s">
        <v>3910</v>
      </c>
      <c r="Q38" s="2">
        <v>14207.320146842205</v>
      </c>
      <c r="R38" s="2" t="s">
        <v>3910</v>
      </c>
      <c r="S38" s="2">
        <v>11.777812931046212</v>
      </c>
      <c r="T38" s="2" t="s">
        <v>3910</v>
      </c>
      <c r="U38" s="2">
        <v>18.638033376514599</v>
      </c>
    </row>
    <row r="39" spans="1:21" x14ac:dyDescent="0.35">
      <c r="A39" t="s">
        <v>1583</v>
      </c>
      <c r="B39" t="s">
        <v>1584</v>
      </c>
      <c r="C39">
        <v>36582</v>
      </c>
      <c r="D39">
        <v>632</v>
      </c>
      <c r="E39">
        <v>48942</v>
      </c>
      <c r="F39">
        <v>36</v>
      </c>
      <c r="G39">
        <v>40</v>
      </c>
      <c r="H39" t="b">
        <v>0</v>
      </c>
      <c r="I39">
        <f t="shared" si="0"/>
        <v>0</v>
      </c>
      <c r="J39" t="str">
        <f t="shared" si="1"/>
        <v>601-750 (Good)</v>
      </c>
      <c r="K39" s="1"/>
      <c r="L39" s="2" t="s">
        <v>3911</v>
      </c>
      <c r="M39" s="2">
        <v>1189413515.5962689</v>
      </c>
      <c r="N39" s="2" t="s">
        <v>3911</v>
      </c>
      <c r="O39" s="2">
        <v>25781.101634817402</v>
      </c>
      <c r="P39" s="2" t="s">
        <v>3911</v>
      </c>
      <c r="Q39" s="2">
        <v>201847945.75486839</v>
      </c>
      <c r="R39" s="2" t="s">
        <v>3911</v>
      </c>
      <c r="S39" s="2">
        <v>138.71687743871934</v>
      </c>
      <c r="T39" s="2" t="s">
        <v>3911</v>
      </c>
      <c r="U39" s="2">
        <v>347.37628814407213</v>
      </c>
    </row>
    <row r="40" spans="1:21" x14ac:dyDescent="0.35">
      <c r="A40" t="s">
        <v>3225</v>
      </c>
      <c r="B40" t="s">
        <v>3226</v>
      </c>
      <c r="C40">
        <v>105341</v>
      </c>
      <c r="D40">
        <v>750</v>
      </c>
      <c r="E40">
        <v>48936</v>
      </c>
      <c r="F40">
        <v>40</v>
      </c>
      <c r="G40">
        <v>80</v>
      </c>
      <c r="H40" t="b">
        <v>1</v>
      </c>
      <c r="I40">
        <f t="shared" si="0"/>
        <v>1</v>
      </c>
      <c r="J40" t="str">
        <f t="shared" si="1"/>
        <v>601-750 (Good)</v>
      </c>
      <c r="K40" s="1"/>
      <c r="L40" s="2" t="s">
        <v>3912</v>
      </c>
      <c r="M40" s="2">
        <v>-1.19990953176629</v>
      </c>
      <c r="N40" s="2" t="s">
        <v>3912</v>
      </c>
      <c r="O40" s="2">
        <v>-1.2416677645901206</v>
      </c>
      <c r="P40" s="2" t="s">
        <v>3912</v>
      </c>
      <c r="Q40" s="2">
        <v>-1.2091151429412677</v>
      </c>
      <c r="R40" s="2" t="s">
        <v>3912</v>
      </c>
      <c r="S40" s="2">
        <v>-1.1924681806680526</v>
      </c>
      <c r="T40" s="2" t="s">
        <v>3912</v>
      </c>
      <c r="U40" s="2">
        <v>-0.57350335181197654</v>
      </c>
    </row>
    <row r="41" spans="1:21" x14ac:dyDescent="0.35">
      <c r="A41" t="s">
        <v>614</v>
      </c>
      <c r="B41" t="s">
        <v>615</v>
      </c>
      <c r="C41">
        <v>38834</v>
      </c>
      <c r="D41">
        <v>395</v>
      </c>
      <c r="E41">
        <v>48902</v>
      </c>
      <c r="F41">
        <v>29</v>
      </c>
      <c r="G41">
        <v>25</v>
      </c>
      <c r="H41" t="b">
        <v>0</v>
      </c>
      <c r="I41">
        <f t="shared" si="0"/>
        <v>0</v>
      </c>
      <c r="J41" t="str">
        <f t="shared" si="1"/>
        <v>300-450 (Poor)</v>
      </c>
      <c r="K41" s="1"/>
      <c r="L41" s="2" t="s">
        <v>3913</v>
      </c>
      <c r="M41" s="2">
        <v>-1.2115999731385193E-2</v>
      </c>
      <c r="N41" s="2" t="s">
        <v>3913</v>
      </c>
      <c r="O41" s="2">
        <v>1.7205540306713795E-3</v>
      </c>
      <c r="P41" s="2" t="s">
        <v>3913</v>
      </c>
      <c r="Q41" s="2">
        <v>7.862566690607942E-3</v>
      </c>
      <c r="R41" s="2" t="s">
        <v>3913</v>
      </c>
      <c r="S41" s="2">
        <v>-2.7956568967589027E-2</v>
      </c>
      <c r="T41" s="2" t="s">
        <v>3913</v>
      </c>
      <c r="U41" s="2">
        <v>0.23144642311354829</v>
      </c>
    </row>
    <row r="42" spans="1:21" x14ac:dyDescent="0.35">
      <c r="A42" t="s">
        <v>1266</v>
      </c>
      <c r="B42" t="s">
        <v>1267</v>
      </c>
      <c r="C42">
        <v>66585</v>
      </c>
      <c r="D42">
        <v>810</v>
      </c>
      <c r="E42">
        <v>48901</v>
      </c>
      <c r="F42">
        <v>15</v>
      </c>
      <c r="G42">
        <v>75</v>
      </c>
      <c r="H42" t="b">
        <v>1</v>
      </c>
      <c r="I42">
        <f t="shared" si="0"/>
        <v>1</v>
      </c>
      <c r="J42" t="str">
        <f t="shared" si="1"/>
        <v>751-850 (Excellent)</v>
      </c>
      <c r="K42" s="1"/>
      <c r="L42" s="2" t="s">
        <v>3914</v>
      </c>
      <c r="M42" s="2">
        <v>119911</v>
      </c>
      <c r="N42" s="2" t="s">
        <v>3914</v>
      </c>
      <c r="O42" s="2">
        <v>550</v>
      </c>
      <c r="P42" s="2" t="s">
        <v>3914</v>
      </c>
      <c r="Q42" s="2">
        <v>48977</v>
      </c>
      <c r="R42" s="2" t="s">
        <v>3914</v>
      </c>
      <c r="S42" s="2">
        <v>40</v>
      </c>
      <c r="T42" s="2" t="s">
        <v>3914</v>
      </c>
      <c r="U42" s="2">
        <v>90</v>
      </c>
    </row>
    <row r="43" spans="1:21" x14ac:dyDescent="0.35">
      <c r="A43" t="s">
        <v>2521</v>
      </c>
      <c r="B43" t="s">
        <v>148</v>
      </c>
      <c r="C43">
        <v>85723</v>
      </c>
      <c r="D43">
        <v>405</v>
      </c>
      <c r="E43">
        <v>48884</v>
      </c>
      <c r="F43">
        <v>13</v>
      </c>
      <c r="G43">
        <v>40</v>
      </c>
      <c r="H43" t="b">
        <v>0</v>
      </c>
      <c r="I43">
        <f t="shared" si="0"/>
        <v>0</v>
      </c>
      <c r="J43" t="str">
        <f t="shared" si="1"/>
        <v>300-450 (Poor)</v>
      </c>
      <c r="K43" s="1"/>
      <c r="L43" s="2" t="s">
        <v>3915</v>
      </c>
      <c r="M43" s="2">
        <v>30053</v>
      </c>
      <c r="N43" s="2" t="s">
        <v>3915</v>
      </c>
      <c r="O43" s="2">
        <v>300</v>
      </c>
      <c r="P43" s="2" t="s">
        <v>3915</v>
      </c>
      <c r="Q43" s="2">
        <v>1022</v>
      </c>
      <c r="R43" s="2" t="s">
        <v>3915</v>
      </c>
      <c r="S43" s="2">
        <v>0</v>
      </c>
      <c r="T43" s="2" t="s">
        <v>3915</v>
      </c>
      <c r="U43" s="2">
        <v>10</v>
      </c>
    </row>
    <row r="44" spans="1:21" x14ac:dyDescent="0.35">
      <c r="A44" t="s">
        <v>2059</v>
      </c>
      <c r="B44" t="s">
        <v>2060</v>
      </c>
      <c r="C44">
        <v>138620</v>
      </c>
      <c r="D44">
        <v>524</v>
      </c>
      <c r="E44">
        <v>48872</v>
      </c>
      <c r="F44">
        <v>17</v>
      </c>
      <c r="G44">
        <v>50</v>
      </c>
      <c r="H44" t="b">
        <v>0</v>
      </c>
      <c r="I44">
        <f t="shared" si="0"/>
        <v>0</v>
      </c>
      <c r="J44" t="str">
        <f t="shared" si="1"/>
        <v>451-600 (Fair)</v>
      </c>
      <c r="K44" s="1"/>
      <c r="L44" s="2" t="s">
        <v>3916</v>
      </c>
      <c r="M44" s="2">
        <v>149964</v>
      </c>
      <c r="N44" s="2" t="s">
        <v>3916</v>
      </c>
      <c r="O44" s="2">
        <v>850</v>
      </c>
      <c r="P44" s="2" t="s">
        <v>3916</v>
      </c>
      <c r="Q44" s="2">
        <v>49999</v>
      </c>
      <c r="R44" s="2" t="s">
        <v>3916</v>
      </c>
      <c r="S44" s="2">
        <v>40</v>
      </c>
      <c r="T44" s="2" t="s">
        <v>3916</v>
      </c>
      <c r="U44" s="2">
        <v>100</v>
      </c>
    </row>
    <row r="45" spans="1:21" x14ac:dyDescent="0.35">
      <c r="A45" t="s">
        <v>1362</v>
      </c>
      <c r="B45" t="s">
        <v>1363</v>
      </c>
      <c r="C45">
        <v>117062</v>
      </c>
      <c r="D45">
        <v>314</v>
      </c>
      <c r="E45">
        <v>48842</v>
      </c>
      <c r="F45">
        <v>27</v>
      </c>
      <c r="G45">
        <v>45</v>
      </c>
      <c r="H45" t="b">
        <v>0</v>
      </c>
      <c r="I45">
        <f t="shared" si="0"/>
        <v>0</v>
      </c>
      <c r="J45" t="str">
        <f t="shared" si="1"/>
        <v>300-450 (Poor)</v>
      </c>
      <c r="K45" s="1"/>
      <c r="L45" s="2" t="s">
        <v>3917</v>
      </c>
      <c r="M45" s="2">
        <v>181171954</v>
      </c>
      <c r="N45" s="2" t="s">
        <v>3917</v>
      </c>
      <c r="O45" s="2">
        <v>1147892</v>
      </c>
      <c r="P45" s="2" t="s">
        <v>3917</v>
      </c>
      <c r="Q45" s="2">
        <v>50617006</v>
      </c>
      <c r="R45" s="2" t="s">
        <v>3917</v>
      </c>
      <c r="S45" s="2">
        <v>40882</v>
      </c>
      <c r="T45" s="2" t="s">
        <v>3917</v>
      </c>
      <c r="U45" s="2">
        <v>113360</v>
      </c>
    </row>
    <row r="46" spans="1:21" x14ac:dyDescent="0.35">
      <c r="A46" t="s">
        <v>18</v>
      </c>
      <c r="B46" t="s">
        <v>19</v>
      </c>
      <c r="C46">
        <v>127196</v>
      </c>
      <c r="D46">
        <v>344</v>
      </c>
      <c r="E46">
        <v>48823</v>
      </c>
      <c r="F46">
        <v>29</v>
      </c>
      <c r="G46">
        <v>50</v>
      </c>
      <c r="H46" t="b">
        <v>0</v>
      </c>
      <c r="I46">
        <f t="shared" si="0"/>
        <v>0</v>
      </c>
      <c r="J46" t="str">
        <f t="shared" si="1"/>
        <v>300-450 (Poor)</v>
      </c>
      <c r="K46" s="1"/>
      <c r="L46" s="2" t="s">
        <v>3918</v>
      </c>
      <c r="M46" s="2">
        <v>2000</v>
      </c>
      <c r="N46" s="2" t="s">
        <v>3918</v>
      </c>
      <c r="O46" s="2">
        <v>2000</v>
      </c>
      <c r="P46" s="2" t="s">
        <v>3918</v>
      </c>
      <c r="Q46" s="2">
        <v>2000</v>
      </c>
      <c r="R46" s="2" t="s">
        <v>3918</v>
      </c>
      <c r="S46" s="2">
        <v>2000</v>
      </c>
      <c r="T46" s="2" t="s">
        <v>3918</v>
      </c>
      <c r="U46" s="2">
        <v>2000</v>
      </c>
    </row>
    <row r="47" spans="1:21" x14ac:dyDescent="0.35">
      <c r="A47" t="s">
        <v>3627</v>
      </c>
      <c r="B47" t="s">
        <v>3628</v>
      </c>
      <c r="C47">
        <v>104000</v>
      </c>
      <c r="D47">
        <v>546</v>
      </c>
      <c r="E47">
        <v>48812</v>
      </c>
      <c r="F47">
        <v>6</v>
      </c>
      <c r="G47">
        <v>40</v>
      </c>
      <c r="H47" t="b">
        <v>0</v>
      </c>
      <c r="I47">
        <f t="shared" si="0"/>
        <v>0</v>
      </c>
      <c r="J47" t="str">
        <f t="shared" si="1"/>
        <v>451-600 (Fair)</v>
      </c>
      <c r="K47" s="1"/>
      <c r="L47" s="2" t="s">
        <v>3919</v>
      </c>
      <c r="M47" s="2">
        <v>149964</v>
      </c>
      <c r="N47" s="2" t="s">
        <v>3919</v>
      </c>
      <c r="O47" s="2">
        <v>850</v>
      </c>
      <c r="P47" s="2" t="s">
        <v>3919</v>
      </c>
      <c r="Q47" s="2">
        <v>49999</v>
      </c>
      <c r="R47" s="2" t="s">
        <v>3919</v>
      </c>
      <c r="S47" s="2">
        <v>40</v>
      </c>
      <c r="T47" s="2" t="s">
        <v>3919</v>
      </c>
      <c r="U47" s="2">
        <v>100</v>
      </c>
    </row>
    <row r="48" spans="1:21" x14ac:dyDescent="0.35">
      <c r="A48" t="s">
        <v>1193</v>
      </c>
      <c r="B48" t="s">
        <v>1194</v>
      </c>
      <c r="C48">
        <v>83964</v>
      </c>
      <c r="D48">
        <v>832</v>
      </c>
      <c r="E48">
        <v>48787</v>
      </c>
      <c r="F48">
        <v>40</v>
      </c>
      <c r="G48">
        <v>80</v>
      </c>
      <c r="H48" t="b">
        <v>1</v>
      </c>
      <c r="I48">
        <f t="shared" si="0"/>
        <v>1</v>
      </c>
      <c r="J48" t="str">
        <f t="shared" si="1"/>
        <v>751-850 (Excellent)</v>
      </c>
      <c r="K48" s="1"/>
      <c r="L48" s="2" t="s">
        <v>3920</v>
      </c>
      <c r="M48" s="2">
        <v>30053</v>
      </c>
      <c r="N48" s="2" t="s">
        <v>3920</v>
      </c>
      <c r="O48" s="2">
        <v>300</v>
      </c>
      <c r="P48" s="2" t="s">
        <v>3920</v>
      </c>
      <c r="Q48" s="2">
        <v>1022</v>
      </c>
      <c r="R48" s="2" t="s">
        <v>3920</v>
      </c>
      <c r="S48" s="2">
        <v>0</v>
      </c>
      <c r="T48" s="2" t="s">
        <v>3920</v>
      </c>
      <c r="U48" s="2">
        <v>10</v>
      </c>
    </row>
    <row r="49" spans="1:21" x14ac:dyDescent="0.35">
      <c r="A49" t="s">
        <v>2547</v>
      </c>
      <c r="B49" t="s">
        <v>2548</v>
      </c>
      <c r="C49">
        <v>70319</v>
      </c>
      <c r="D49">
        <v>451</v>
      </c>
      <c r="E49">
        <v>48772</v>
      </c>
      <c r="F49">
        <v>17</v>
      </c>
      <c r="G49">
        <v>35</v>
      </c>
      <c r="H49" t="b">
        <v>0</v>
      </c>
      <c r="I49">
        <f t="shared" si="0"/>
        <v>0</v>
      </c>
      <c r="J49" t="str">
        <f t="shared" si="1"/>
        <v>451-600 (Fair)</v>
      </c>
      <c r="K49" s="1"/>
      <c r="L49" s="2" t="s">
        <v>3921</v>
      </c>
      <c r="M49" s="2">
        <v>1512.3857041238305</v>
      </c>
      <c r="N49" s="2" t="s">
        <v>3921</v>
      </c>
      <c r="O49" s="2">
        <v>7.0412029849810533</v>
      </c>
      <c r="P49" s="2" t="s">
        <v>3921</v>
      </c>
      <c r="Q49" s="2">
        <v>623.02904838230779</v>
      </c>
      <c r="R49" s="2" t="s">
        <v>3921</v>
      </c>
      <c r="S49" s="2">
        <v>0.51648864857075283</v>
      </c>
      <c r="T49" s="2" t="s">
        <v>3921</v>
      </c>
      <c r="U49" s="2">
        <v>0.81732769292656049</v>
      </c>
    </row>
    <row r="50" spans="1:21" x14ac:dyDescent="0.35">
      <c r="A50" t="s">
        <v>2862</v>
      </c>
      <c r="B50" t="s">
        <v>2863</v>
      </c>
      <c r="C50">
        <v>84387</v>
      </c>
      <c r="D50">
        <v>806</v>
      </c>
      <c r="E50">
        <v>48753</v>
      </c>
      <c r="F50">
        <v>7</v>
      </c>
      <c r="G50">
        <v>75</v>
      </c>
      <c r="H50" t="b">
        <v>1</v>
      </c>
      <c r="I50">
        <f t="shared" si="0"/>
        <v>1</v>
      </c>
      <c r="J50" t="str">
        <f t="shared" si="1"/>
        <v>751-850 (Excellent)</v>
      </c>
      <c r="K50" s="1"/>
    </row>
    <row r="51" spans="1:21" x14ac:dyDescent="0.35">
      <c r="A51" t="s">
        <v>1416</v>
      </c>
      <c r="B51" t="s">
        <v>1417</v>
      </c>
      <c r="C51">
        <v>52810</v>
      </c>
      <c r="D51">
        <v>734</v>
      </c>
      <c r="E51">
        <v>48749</v>
      </c>
      <c r="F51">
        <v>26</v>
      </c>
      <c r="G51">
        <v>60</v>
      </c>
      <c r="H51" t="b">
        <v>1</v>
      </c>
      <c r="I51">
        <f t="shared" si="0"/>
        <v>1</v>
      </c>
      <c r="J51" t="str">
        <f t="shared" si="1"/>
        <v>601-750 (Good)</v>
      </c>
      <c r="K51" s="1"/>
    </row>
    <row r="52" spans="1:21" x14ac:dyDescent="0.35">
      <c r="A52" t="s">
        <v>2336</v>
      </c>
      <c r="B52" t="s">
        <v>1176</v>
      </c>
      <c r="C52">
        <v>43446</v>
      </c>
      <c r="D52">
        <v>478</v>
      </c>
      <c r="E52">
        <v>48720</v>
      </c>
      <c r="F52">
        <v>24</v>
      </c>
      <c r="G52">
        <v>25</v>
      </c>
      <c r="H52" t="b">
        <v>0</v>
      </c>
      <c r="I52">
        <f t="shared" si="0"/>
        <v>0</v>
      </c>
      <c r="J52" t="str">
        <f t="shared" si="1"/>
        <v>451-600 (Fair)</v>
      </c>
      <c r="K52" s="1"/>
    </row>
    <row r="53" spans="1:21" x14ac:dyDescent="0.35">
      <c r="A53" t="s">
        <v>1414</v>
      </c>
      <c r="B53" t="s">
        <v>1415</v>
      </c>
      <c r="C53">
        <v>148332</v>
      </c>
      <c r="D53">
        <v>520</v>
      </c>
      <c r="E53">
        <v>48700</v>
      </c>
      <c r="F53">
        <v>28</v>
      </c>
      <c r="G53">
        <v>50</v>
      </c>
      <c r="H53" t="b">
        <v>0</v>
      </c>
      <c r="I53">
        <f t="shared" si="0"/>
        <v>0</v>
      </c>
      <c r="J53" t="str">
        <f t="shared" si="1"/>
        <v>451-600 (Fair)</v>
      </c>
      <c r="K53" s="1"/>
    </row>
    <row r="54" spans="1:21" x14ac:dyDescent="0.35">
      <c r="A54" t="s">
        <v>2492</v>
      </c>
      <c r="B54" t="s">
        <v>2493</v>
      </c>
      <c r="C54">
        <v>67056</v>
      </c>
      <c r="D54">
        <v>808</v>
      </c>
      <c r="E54">
        <v>48681</v>
      </c>
      <c r="F54">
        <v>25</v>
      </c>
      <c r="G54">
        <v>75</v>
      </c>
      <c r="H54" t="b">
        <v>1</v>
      </c>
      <c r="I54">
        <f t="shared" si="0"/>
        <v>1</v>
      </c>
      <c r="J54" t="str">
        <f t="shared" si="1"/>
        <v>751-850 (Excellent)</v>
      </c>
      <c r="K54" s="1"/>
    </row>
    <row r="55" spans="1:21" x14ac:dyDescent="0.35">
      <c r="A55" t="s">
        <v>2990</v>
      </c>
      <c r="B55" t="s">
        <v>2991</v>
      </c>
      <c r="C55">
        <v>32011</v>
      </c>
      <c r="D55">
        <v>568</v>
      </c>
      <c r="E55">
        <v>48654</v>
      </c>
      <c r="F55">
        <v>20</v>
      </c>
      <c r="G55">
        <v>25</v>
      </c>
      <c r="H55" t="b">
        <v>0</v>
      </c>
      <c r="I55">
        <f t="shared" si="0"/>
        <v>0</v>
      </c>
      <c r="J55" t="str">
        <f t="shared" si="1"/>
        <v>451-600 (Fair)</v>
      </c>
      <c r="K55" s="1"/>
    </row>
    <row r="56" spans="1:21" x14ac:dyDescent="0.35">
      <c r="A56" t="s">
        <v>2089</v>
      </c>
      <c r="B56" t="s">
        <v>2090</v>
      </c>
      <c r="C56">
        <v>90931</v>
      </c>
      <c r="D56">
        <v>737</v>
      </c>
      <c r="E56">
        <v>48625</v>
      </c>
      <c r="F56">
        <v>17</v>
      </c>
      <c r="G56">
        <v>65</v>
      </c>
      <c r="H56" t="b">
        <v>1</v>
      </c>
      <c r="I56">
        <f t="shared" si="0"/>
        <v>1</v>
      </c>
      <c r="J56" t="str">
        <f t="shared" si="1"/>
        <v>601-750 (Good)</v>
      </c>
      <c r="K56" s="1"/>
    </row>
    <row r="57" spans="1:21" x14ac:dyDescent="0.35">
      <c r="A57" t="s">
        <v>623</v>
      </c>
      <c r="B57" t="s">
        <v>624</v>
      </c>
      <c r="C57">
        <v>39287</v>
      </c>
      <c r="D57">
        <v>612</v>
      </c>
      <c r="E57">
        <v>48578</v>
      </c>
      <c r="F57">
        <v>14</v>
      </c>
      <c r="G57">
        <v>40</v>
      </c>
      <c r="H57" t="b">
        <v>0</v>
      </c>
      <c r="I57">
        <f t="shared" si="0"/>
        <v>0</v>
      </c>
      <c r="J57" t="str">
        <f t="shared" si="1"/>
        <v>601-750 (Good)</v>
      </c>
      <c r="K57" s="1"/>
    </row>
    <row r="58" spans="1:21" x14ac:dyDescent="0.35">
      <c r="A58" t="s">
        <v>3530</v>
      </c>
      <c r="B58" t="s">
        <v>3531</v>
      </c>
      <c r="C58">
        <v>106983</v>
      </c>
      <c r="D58">
        <v>350</v>
      </c>
      <c r="E58">
        <v>48578</v>
      </c>
      <c r="F58">
        <v>10</v>
      </c>
      <c r="G58">
        <v>45</v>
      </c>
      <c r="H58" t="b">
        <v>0</v>
      </c>
      <c r="I58">
        <f t="shared" si="0"/>
        <v>0</v>
      </c>
      <c r="J58" t="str">
        <f t="shared" si="1"/>
        <v>300-450 (Poor)</v>
      </c>
      <c r="K58" s="1"/>
    </row>
    <row r="59" spans="1:21" x14ac:dyDescent="0.35">
      <c r="A59" t="s">
        <v>3440</v>
      </c>
      <c r="B59" t="s">
        <v>3441</v>
      </c>
      <c r="C59">
        <v>118125</v>
      </c>
      <c r="D59">
        <v>639</v>
      </c>
      <c r="E59">
        <v>48546</v>
      </c>
      <c r="F59">
        <v>8</v>
      </c>
      <c r="G59">
        <v>55</v>
      </c>
      <c r="H59" t="b">
        <v>0</v>
      </c>
      <c r="I59">
        <f t="shared" si="0"/>
        <v>0</v>
      </c>
      <c r="J59" t="str">
        <f t="shared" si="1"/>
        <v>601-750 (Good)</v>
      </c>
      <c r="K59" s="1"/>
    </row>
    <row r="60" spans="1:21" x14ac:dyDescent="0.35">
      <c r="A60" t="s">
        <v>482</v>
      </c>
      <c r="B60" t="s">
        <v>483</v>
      </c>
      <c r="C60">
        <v>94042</v>
      </c>
      <c r="D60">
        <v>493</v>
      </c>
      <c r="E60">
        <v>48515</v>
      </c>
      <c r="F60">
        <v>7</v>
      </c>
      <c r="G60">
        <v>35</v>
      </c>
      <c r="H60" t="b">
        <v>0</v>
      </c>
      <c r="I60">
        <f t="shared" si="0"/>
        <v>0</v>
      </c>
      <c r="J60" t="str">
        <f t="shared" si="1"/>
        <v>451-600 (Fair)</v>
      </c>
      <c r="K60" s="1"/>
    </row>
    <row r="61" spans="1:21" x14ac:dyDescent="0.35">
      <c r="A61" t="s">
        <v>883</v>
      </c>
      <c r="B61" t="s">
        <v>884</v>
      </c>
      <c r="C61">
        <v>105880</v>
      </c>
      <c r="D61">
        <v>501</v>
      </c>
      <c r="E61">
        <v>48507</v>
      </c>
      <c r="F61">
        <v>12</v>
      </c>
      <c r="G61">
        <v>45</v>
      </c>
      <c r="H61" t="b">
        <v>0</v>
      </c>
      <c r="I61">
        <f t="shared" si="0"/>
        <v>0</v>
      </c>
      <c r="J61" t="str">
        <f t="shared" si="1"/>
        <v>451-600 (Fair)</v>
      </c>
      <c r="K61" s="1"/>
    </row>
    <row r="62" spans="1:21" x14ac:dyDescent="0.35">
      <c r="A62" t="s">
        <v>2069</v>
      </c>
      <c r="B62" t="s">
        <v>2070</v>
      </c>
      <c r="C62">
        <v>53086</v>
      </c>
      <c r="D62">
        <v>402</v>
      </c>
      <c r="E62">
        <v>48468</v>
      </c>
      <c r="F62">
        <v>33</v>
      </c>
      <c r="G62">
        <v>35</v>
      </c>
      <c r="H62" t="b">
        <v>0</v>
      </c>
      <c r="I62">
        <f t="shared" si="0"/>
        <v>0</v>
      </c>
      <c r="J62" t="str">
        <f t="shared" si="1"/>
        <v>300-450 (Poor)</v>
      </c>
      <c r="K62" s="1"/>
    </row>
    <row r="63" spans="1:21" x14ac:dyDescent="0.35">
      <c r="A63" t="s">
        <v>2233</v>
      </c>
      <c r="B63" t="s">
        <v>2234</v>
      </c>
      <c r="C63">
        <v>102140</v>
      </c>
      <c r="D63">
        <v>495</v>
      </c>
      <c r="E63">
        <v>48455</v>
      </c>
      <c r="F63">
        <v>23</v>
      </c>
      <c r="G63">
        <v>45</v>
      </c>
      <c r="H63" t="b">
        <v>0</v>
      </c>
      <c r="I63">
        <f t="shared" si="0"/>
        <v>0</v>
      </c>
      <c r="J63" t="str">
        <f t="shared" si="1"/>
        <v>451-600 (Fair)</v>
      </c>
      <c r="K63" s="1"/>
    </row>
    <row r="64" spans="1:21" x14ac:dyDescent="0.35">
      <c r="A64" t="s">
        <v>1105</v>
      </c>
      <c r="B64" t="s">
        <v>1106</v>
      </c>
      <c r="C64">
        <v>49536</v>
      </c>
      <c r="D64">
        <v>379</v>
      </c>
      <c r="E64">
        <v>48420</v>
      </c>
      <c r="F64">
        <v>20</v>
      </c>
      <c r="G64">
        <v>25</v>
      </c>
      <c r="H64" t="b">
        <v>0</v>
      </c>
      <c r="I64">
        <f t="shared" si="0"/>
        <v>0</v>
      </c>
      <c r="J64" t="str">
        <f t="shared" si="1"/>
        <v>300-450 (Poor)</v>
      </c>
      <c r="K64" s="1"/>
    </row>
    <row r="65" spans="1:11" x14ac:dyDescent="0.35">
      <c r="A65" t="s">
        <v>1797</v>
      </c>
      <c r="B65" t="s">
        <v>1798</v>
      </c>
      <c r="C65">
        <v>80968</v>
      </c>
      <c r="D65">
        <v>532</v>
      </c>
      <c r="E65">
        <v>48404</v>
      </c>
      <c r="F65">
        <v>13</v>
      </c>
      <c r="G65">
        <v>40</v>
      </c>
      <c r="H65" t="b">
        <v>0</v>
      </c>
      <c r="I65">
        <f t="shared" si="0"/>
        <v>0</v>
      </c>
      <c r="J65" t="str">
        <f t="shared" si="1"/>
        <v>451-600 (Fair)</v>
      </c>
      <c r="K65" s="1"/>
    </row>
    <row r="66" spans="1:11" x14ac:dyDescent="0.35">
      <c r="A66" t="s">
        <v>2358</v>
      </c>
      <c r="B66" t="s">
        <v>2359</v>
      </c>
      <c r="C66">
        <v>142947</v>
      </c>
      <c r="D66">
        <v>577</v>
      </c>
      <c r="E66">
        <v>48404</v>
      </c>
      <c r="F66">
        <v>2</v>
      </c>
      <c r="G66">
        <v>40</v>
      </c>
      <c r="H66" t="b">
        <v>0</v>
      </c>
      <c r="I66">
        <f t="shared" si="0"/>
        <v>0</v>
      </c>
      <c r="J66" t="str">
        <f t="shared" si="1"/>
        <v>451-600 (Fair)</v>
      </c>
      <c r="K66" s="1"/>
    </row>
    <row r="67" spans="1:11" x14ac:dyDescent="0.35">
      <c r="A67" t="s">
        <v>2498</v>
      </c>
      <c r="B67" t="s">
        <v>2499</v>
      </c>
      <c r="C67">
        <v>89510</v>
      </c>
      <c r="D67">
        <v>835</v>
      </c>
      <c r="E67">
        <v>48384</v>
      </c>
      <c r="F67">
        <v>36</v>
      </c>
      <c r="G67">
        <v>80</v>
      </c>
      <c r="H67" t="b">
        <v>1</v>
      </c>
      <c r="I67">
        <f t="shared" si="0"/>
        <v>1</v>
      </c>
      <c r="J67" t="str">
        <f t="shared" si="1"/>
        <v>751-850 (Excellent)</v>
      </c>
      <c r="K67" s="1"/>
    </row>
    <row r="68" spans="1:11" x14ac:dyDescent="0.35">
      <c r="A68" t="s">
        <v>1517</v>
      </c>
      <c r="B68" t="s">
        <v>1518</v>
      </c>
      <c r="C68">
        <v>110120</v>
      </c>
      <c r="D68">
        <v>343</v>
      </c>
      <c r="E68">
        <v>48348</v>
      </c>
      <c r="F68">
        <v>31</v>
      </c>
      <c r="G68">
        <v>45</v>
      </c>
      <c r="H68" t="b">
        <v>0</v>
      </c>
      <c r="I68">
        <f t="shared" ref="I68:I131" si="2">--H68</f>
        <v>0</v>
      </c>
      <c r="J68" t="str">
        <f t="shared" ref="J68:J131" si="3">IF(D68&gt;750, "751-850 (Excellent)", IF(D68&gt;600, "601-750 (Good)", IF(D68&gt;450, "451-600 (Fair)", "300-450 (Poor)")))</f>
        <v>300-450 (Poor)</v>
      </c>
      <c r="K68" s="1"/>
    </row>
    <row r="69" spans="1:11" x14ac:dyDescent="0.35">
      <c r="A69" t="s">
        <v>213</v>
      </c>
      <c r="B69" t="s">
        <v>214</v>
      </c>
      <c r="C69">
        <v>57460</v>
      </c>
      <c r="D69">
        <v>315</v>
      </c>
      <c r="E69">
        <v>48346</v>
      </c>
      <c r="F69">
        <v>9</v>
      </c>
      <c r="G69">
        <v>30</v>
      </c>
      <c r="H69" t="b">
        <v>0</v>
      </c>
      <c r="I69">
        <f t="shared" si="2"/>
        <v>0</v>
      </c>
      <c r="J69" t="str">
        <f t="shared" si="3"/>
        <v>300-450 (Poor)</v>
      </c>
      <c r="K69" s="1"/>
    </row>
    <row r="70" spans="1:11" x14ac:dyDescent="0.35">
      <c r="A70" t="s">
        <v>2058</v>
      </c>
      <c r="B70" t="s">
        <v>666</v>
      </c>
      <c r="C70">
        <v>146860</v>
      </c>
      <c r="D70">
        <v>570</v>
      </c>
      <c r="E70">
        <v>48322</v>
      </c>
      <c r="F70">
        <v>8</v>
      </c>
      <c r="G70">
        <v>45</v>
      </c>
      <c r="H70" t="b">
        <v>0</v>
      </c>
      <c r="I70">
        <f t="shared" si="2"/>
        <v>0</v>
      </c>
      <c r="J70" t="str">
        <f t="shared" si="3"/>
        <v>451-600 (Fair)</v>
      </c>
      <c r="K70" s="1"/>
    </row>
    <row r="71" spans="1:11" x14ac:dyDescent="0.35">
      <c r="A71" t="s">
        <v>574</v>
      </c>
      <c r="B71" t="s">
        <v>575</v>
      </c>
      <c r="C71">
        <v>147914</v>
      </c>
      <c r="D71">
        <v>748</v>
      </c>
      <c r="E71">
        <v>48316</v>
      </c>
      <c r="F71">
        <v>28</v>
      </c>
      <c r="G71">
        <v>85</v>
      </c>
      <c r="H71" t="b">
        <v>1</v>
      </c>
      <c r="I71">
        <f t="shared" si="2"/>
        <v>1</v>
      </c>
      <c r="J71" t="str">
        <f t="shared" si="3"/>
        <v>601-750 (Good)</v>
      </c>
      <c r="K71" s="1"/>
    </row>
    <row r="72" spans="1:11" x14ac:dyDescent="0.35">
      <c r="A72" t="s">
        <v>2828</v>
      </c>
      <c r="B72" t="s">
        <v>2829</v>
      </c>
      <c r="C72">
        <v>91894</v>
      </c>
      <c r="D72">
        <v>403</v>
      </c>
      <c r="E72">
        <v>48313</v>
      </c>
      <c r="F72">
        <v>5</v>
      </c>
      <c r="G72">
        <v>35</v>
      </c>
      <c r="H72" t="b">
        <v>0</v>
      </c>
      <c r="I72">
        <f t="shared" si="2"/>
        <v>0</v>
      </c>
      <c r="J72" t="str">
        <f t="shared" si="3"/>
        <v>300-450 (Poor)</v>
      </c>
      <c r="K72" s="1"/>
    </row>
    <row r="73" spans="1:11" x14ac:dyDescent="0.35">
      <c r="A73" t="s">
        <v>422</v>
      </c>
      <c r="B73" t="s">
        <v>423</v>
      </c>
      <c r="C73">
        <v>89470</v>
      </c>
      <c r="D73">
        <v>533</v>
      </c>
      <c r="E73">
        <v>48277</v>
      </c>
      <c r="F73">
        <v>3</v>
      </c>
      <c r="G73">
        <v>30</v>
      </c>
      <c r="H73" t="b">
        <v>0</v>
      </c>
      <c r="I73">
        <f t="shared" si="2"/>
        <v>0</v>
      </c>
      <c r="J73" t="str">
        <f t="shared" si="3"/>
        <v>451-600 (Fair)</v>
      </c>
      <c r="K73" s="1"/>
    </row>
    <row r="74" spans="1:11" x14ac:dyDescent="0.35">
      <c r="A74" t="s">
        <v>3891</v>
      </c>
      <c r="B74" t="s">
        <v>3892</v>
      </c>
      <c r="C74">
        <v>38799</v>
      </c>
      <c r="D74">
        <v>635</v>
      </c>
      <c r="E74">
        <v>48259</v>
      </c>
      <c r="F74">
        <v>17</v>
      </c>
      <c r="G74">
        <v>40</v>
      </c>
      <c r="H74" t="b">
        <v>0</v>
      </c>
      <c r="I74">
        <f t="shared" si="2"/>
        <v>0</v>
      </c>
      <c r="J74" t="str">
        <f t="shared" si="3"/>
        <v>601-750 (Good)</v>
      </c>
      <c r="K74" s="1"/>
    </row>
    <row r="75" spans="1:11" x14ac:dyDescent="0.35">
      <c r="A75" t="s">
        <v>661</v>
      </c>
      <c r="B75" t="s">
        <v>662</v>
      </c>
      <c r="C75">
        <v>54957</v>
      </c>
      <c r="D75">
        <v>726</v>
      </c>
      <c r="E75">
        <v>48204</v>
      </c>
      <c r="F75">
        <v>20</v>
      </c>
      <c r="G75">
        <v>60</v>
      </c>
      <c r="H75" t="b">
        <v>1</v>
      </c>
      <c r="I75">
        <f t="shared" si="2"/>
        <v>1</v>
      </c>
      <c r="J75" t="str">
        <f t="shared" si="3"/>
        <v>601-750 (Good)</v>
      </c>
      <c r="K75" s="1"/>
    </row>
    <row r="76" spans="1:11" x14ac:dyDescent="0.35">
      <c r="A76" t="s">
        <v>2849</v>
      </c>
      <c r="B76" t="s">
        <v>2850</v>
      </c>
      <c r="C76">
        <v>47892</v>
      </c>
      <c r="D76">
        <v>533</v>
      </c>
      <c r="E76">
        <v>48192</v>
      </c>
      <c r="F76">
        <v>22</v>
      </c>
      <c r="G76">
        <v>25</v>
      </c>
      <c r="H76" t="b">
        <v>0</v>
      </c>
      <c r="I76">
        <f t="shared" si="2"/>
        <v>0</v>
      </c>
      <c r="J76" t="str">
        <f t="shared" si="3"/>
        <v>451-600 (Fair)</v>
      </c>
      <c r="K76" s="1"/>
    </row>
    <row r="77" spans="1:11" x14ac:dyDescent="0.35">
      <c r="A77" t="s">
        <v>3822</v>
      </c>
      <c r="B77" t="s">
        <v>3823</v>
      </c>
      <c r="C77">
        <v>109354</v>
      </c>
      <c r="D77">
        <v>632</v>
      </c>
      <c r="E77">
        <v>48132</v>
      </c>
      <c r="F77">
        <v>34</v>
      </c>
      <c r="G77">
        <v>60</v>
      </c>
      <c r="H77" t="b">
        <v>1</v>
      </c>
      <c r="I77">
        <f t="shared" si="2"/>
        <v>1</v>
      </c>
      <c r="J77" t="str">
        <f t="shared" si="3"/>
        <v>601-750 (Good)</v>
      </c>
      <c r="K77" s="1"/>
    </row>
    <row r="78" spans="1:11" x14ac:dyDescent="0.35">
      <c r="A78" t="s">
        <v>2478</v>
      </c>
      <c r="B78" t="s">
        <v>2479</v>
      </c>
      <c r="C78">
        <v>107832</v>
      </c>
      <c r="D78">
        <v>705</v>
      </c>
      <c r="E78">
        <v>48043</v>
      </c>
      <c r="F78">
        <v>14</v>
      </c>
      <c r="G78">
        <v>70</v>
      </c>
      <c r="H78" t="b">
        <v>1</v>
      </c>
      <c r="I78">
        <f t="shared" si="2"/>
        <v>1</v>
      </c>
      <c r="J78" t="str">
        <f t="shared" si="3"/>
        <v>601-750 (Good)</v>
      </c>
      <c r="K78" s="1"/>
    </row>
    <row r="79" spans="1:11" x14ac:dyDescent="0.35">
      <c r="A79" t="s">
        <v>1252</v>
      </c>
      <c r="B79" t="s">
        <v>1253</v>
      </c>
      <c r="C79">
        <v>55313</v>
      </c>
      <c r="D79">
        <v>745</v>
      </c>
      <c r="E79">
        <v>48041</v>
      </c>
      <c r="F79">
        <v>22</v>
      </c>
      <c r="G79">
        <v>70</v>
      </c>
      <c r="H79" t="b">
        <v>1</v>
      </c>
      <c r="I79">
        <f t="shared" si="2"/>
        <v>1</v>
      </c>
      <c r="J79" t="str">
        <f t="shared" si="3"/>
        <v>601-750 (Good)</v>
      </c>
      <c r="K79" s="1"/>
    </row>
    <row r="80" spans="1:11" x14ac:dyDescent="0.35">
      <c r="A80" t="s">
        <v>1340</v>
      </c>
      <c r="B80" t="s">
        <v>1341</v>
      </c>
      <c r="C80">
        <v>135710</v>
      </c>
      <c r="D80">
        <v>484</v>
      </c>
      <c r="E80">
        <v>48002</v>
      </c>
      <c r="F80">
        <v>31</v>
      </c>
      <c r="G80">
        <v>50</v>
      </c>
      <c r="H80" t="b">
        <v>0</v>
      </c>
      <c r="I80">
        <f t="shared" si="2"/>
        <v>0</v>
      </c>
      <c r="J80" t="str">
        <f t="shared" si="3"/>
        <v>451-600 (Fair)</v>
      </c>
      <c r="K80" s="1"/>
    </row>
    <row r="81" spans="1:11" x14ac:dyDescent="0.35">
      <c r="A81" t="s">
        <v>1940</v>
      </c>
      <c r="B81" t="s">
        <v>1941</v>
      </c>
      <c r="C81">
        <v>121680</v>
      </c>
      <c r="D81">
        <v>456</v>
      </c>
      <c r="E81">
        <v>47973</v>
      </c>
      <c r="F81">
        <v>13</v>
      </c>
      <c r="G81">
        <v>50</v>
      </c>
      <c r="H81" t="b">
        <v>0</v>
      </c>
      <c r="I81">
        <f t="shared" si="2"/>
        <v>0</v>
      </c>
      <c r="J81" t="str">
        <f t="shared" si="3"/>
        <v>451-600 (Fair)</v>
      </c>
      <c r="K81" s="1"/>
    </row>
    <row r="82" spans="1:11" x14ac:dyDescent="0.35">
      <c r="A82" t="s">
        <v>1054</v>
      </c>
      <c r="B82" t="s">
        <v>1055</v>
      </c>
      <c r="C82">
        <v>140900</v>
      </c>
      <c r="D82">
        <v>428</v>
      </c>
      <c r="E82">
        <v>47871</v>
      </c>
      <c r="F82">
        <v>28</v>
      </c>
      <c r="G82">
        <v>50</v>
      </c>
      <c r="H82" t="b">
        <v>0</v>
      </c>
      <c r="I82">
        <f t="shared" si="2"/>
        <v>0</v>
      </c>
      <c r="J82" t="str">
        <f t="shared" si="3"/>
        <v>300-450 (Poor)</v>
      </c>
      <c r="K82" s="1"/>
    </row>
    <row r="83" spans="1:11" x14ac:dyDescent="0.35">
      <c r="A83" t="s">
        <v>3522</v>
      </c>
      <c r="B83" t="s">
        <v>3523</v>
      </c>
      <c r="C83">
        <v>127404</v>
      </c>
      <c r="D83">
        <v>666</v>
      </c>
      <c r="E83">
        <v>47852</v>
      </c>
      <c r="F83">
        <v>10</v>
      </c>
      <c r="G83">
        <v>65</v>
      </c>
      <c r="H83" t="b">
        <v>1</v>
      </c>
      <c r="I83">
        <f t="shared" si="2"/>
        <v>1</v>
      </c>
      <c r="J83" t="str">
        <f t="shared" si="3"/>
        <v>601-750 (Good)</v>
      </c>
      <c r="K83" s="1"/>
    </row>
    <row r="84" spans="1:11" x14ac:dyDescent="0.35">
      <c r="A84" t="s">
        <v>339</v>
      </c>
      <c r="B84" t="s">
        <v>340</v>
      </c>
      <c r="C84">
        <v>77447</v>
      </c>
      <c r="D84">
        <v>401</v>
      </c>
      <c r="E84">
        <v>47838</v>
      </c>
      <c r="F84">
        <v>21</v>
      </c>
      <c r="G84">
        <v>40</v>
      </c>
      <c r="H84" t="b">
        <v>0</v>
      </c>
      <c r="I84">
        <f t="shared" si="2"/>
        <v>0</v>
      </c>
      <c r="J84" t="str">
        <f t="shared" si="3"/>
        <v>300-450 (Poor)</v>
      </c>
      <c r="K84" s="1"/>
    </row>
    <row r="85" spans="1:11" x14ac:dyDescent="0.35">
      <c r="A85" t="s">
        <v>1663</v>
      </c>
      <c r="B85" t="s">
        <v>1664</v>
      </c>
      <c r="C85">
        <v>93517</v>
      </c>
      <c r="D85">
        <v>443</v>
      </c>
      <c r="E85">
        <v>47815</v>
      </c>
      <c r="F85">
        <v>24</v>
      </c>
      <c r="G85">
        <v>40</v>
      </c>
      <c r="H85" t="b">
        <v>0</v>
      </c>
      <c r="I85">
        <f t="shared" si="2"/>
        <v>0</v>
      </c>
      <c r="J85" t="str">
        <f t="shared" si="3"/>
        <v>300-450 (Poor)</v>
      </c>
      <c r="K85" s="1"/>
    </row>
    <row r="86" spans="1:11" x14ac:dyDescent="0.35">
      <c r="A86" t="s">
        <v>1999</v>
      </c>
      <c r="B86" t="s">
        <v>2000</v>
      </c>
      <c r="C86">
        <v>43356</v>
      </c>
      <c r="D86">
        <v>307</v>
      </c>
      <c r="E86">
        <v>47803</v>
      </c>
      <c r="F86">
        <v>27</v>
      </c>
      <c r="G86">
        <v>25</v>
      </c>
      <c r="H86" t="b">
        <v>0</v>
      </c>
      <c r="I86">
        <f t="shared" si="2"/>
        <v>0</v>
      </c>
      <c r="J86" t="str">
        <f t="shared" si="3"/>
        <v>300-450 (Poor)</v>
      </c>
      <c r="K86" s="1"/>
    </row>
    <row r="87" spans="1:11" x14ac:dyDescent="0.35">
      <c r="A87" t="s">
        <v>3035</v>
      </c>
      <c r="B87" t="s">
        <v>3036</v>
      </c>
      <c r="C87">
        <v>79808</v>
      </c>
      <c r="D87">
        <v>467</v>
      </c>
      <c r="E87">
        <v>47783</v>
      </c>
      <c r="F87">
        <v>15</v>
      </c>
      <c r="G87">
        <v>40</v>
      </c>
      <c r="H87" t="b">
        <v>0</v>
      </c>
      <c r="I87">
        <f t="shared" si="2"/>
        <v>0</v>
      </c>
      <c r="J87" t="str">
        <f t="shared" si="3"/>
        <v>451-600 (Fair)</v>
      </c>
      <c r="K87" s="1"/>
    </row>
    <row r="88" spans="1:11" x14ac:dyDescent="0.35">
      <c r="A88" t="s">
        <v>2855</v>
      </c>
      <c r="B88" t="s">
        <v>2856</v>
      </c>
      <c r="C88">
        <v>66208</v>
      </c>
      <c r="D88">
        <v>328</v>
      </c>
      <c r="E88">
        <v>47767</v>
      </c>
      <c r="F88">
        <v>38</v>
      </c>
      <c r="G88">
        <v>35</v>
      </c>
      <c r="H88" t="b">
        <v>0</v>
      </c>
      <c r="I88">
        <f t="shared" si="2"/>
        <v>0</v>
      </c>
      <c r="J88" t="str">
        <f t="shared" si="3"/>
        <v>300-450 (Poor)</v>
      </c>
      <c r="K88" s="1"/>
    </row>
    <row r="89" spans="1:11" x14ac:dyDescent="0.35">
      <c r="A89" t="s">
        <v>3700</v>
      </c>
      <c r="B89" t="s">
        <v>3701</v>
      </c>
      <c r="C89">
        <v>72437</v>
      </c>
      <c r="D89">
        <v>773</v>
      </c>
      <c r="E89">
        <v>47702</v>
      </c>
      <c r="F89">
        <v>14</v>
      </c>
      <c r="G89">
        <v>70</v>
      </c>
      <c r="H89" t="b">
        <v>1</v>
      </c>
      <c r="I89">
        <f t="shared" si="2"/>
        <v>1</v>
      </c>
      <c r="J89" t="str">
        <f t="shared" si="3"/>
        <v>751-850 (Excellent)</v>
      </c>
      <c r="K89" s="1"/>
    </row>
    <row r="90" spans="1:11" x14ac:dyDescent="0.35">
      <c r="A90" t="s">
        <v>1780</v>
      </c>
      <c r="B90" t="s">
        <v>1781</v>
      </c>
      <c r="C90">
        <v>109069</v>
      </c>
      <c r="D90">
        <v>629</v>
      </c>
      <c r="E90">
        <v>47693</v>
      </c>
      <c r="F90">
        <v>23</v>
      </c>
      <c r="G90">
        <v>60</v>
      </c>
      <c r="H90" t="b">
        <v>1</v>
      </c>
      <c r="I90">
        <f t="shared" si="2"/>
        <v>1</v>
      </c>
      <c r="J90" t="str">
        <f t="shared" si="3"/>
        <v>601-750 (Good)</v>
      </c>
      <c r="K90" s="1"/>
    </row>
    <row r="91" spans="1:11" x14ac:dyDescent="0.35">
      <c r="A91" t="s">
        <v>2429</v>
      </c>
      <c r="B91" t="s">
        <v>2430</v>
      </c>
      <c r="C91">
        <v>86207</v>
      </c>
      <c r="D91">
        <v>547</v>
      </c>
      <c r="E91">
        <v>47660</v>
      </c>
      <c r="F91">
        <v>18</v>
      </c>
      <c r="G91">
        <v>40</v>
      </c>
      <c r="H91" t="b">
        <v>0</v>
      </c>
      <c r="I91">
        <f t="shared" si="2"/>
        <v>0</v>
      </c>
      <c r="J91" t="str">
        <f t="shared" si="3"/>
        <v>451-600 (Fair)</v>
      </c>
      <c r="K91" s="1"/>
    </row>
    <row r="92" spans="1:11" x14ac:dyDescent="0.35">
      <c r="A92" t="s">
        <v>2530</v>
      </c>
      <c r="B92" t="s">
        <v>2531</v>
      </c>
      <c r="C92">
        <v>49528</v>
      </c>
      <c r="D92">
        <v>584</v>
      </c>
      <c r="E92">
        <v>47618</v>
      </c>
      <c r="F92">
        <v>9</v>
      </c>
      <c r="G92">
        <v>35</v>
      </c>
      <c r="H92" t="b">
        <v>0</v>
      </c>
      <c r="I92">
        <f t="shared" si="2"/>
        <v>0</v>
      </c>
      <c r="J92" t="str">
        <f t="shared" si="3"/>
        <v>451-600 (Fair)</v>
      </c>
      <c r="K92" s="1"/>
    </row>
    <row r="93" spans="1:11" x14ac:dyDescent="0.35">
      <c r="A93" t="s">
        <v>3446</v>
      </c>
      <c r="B93" t="s">
        <v>3447</v>
      </c>
      <c r="C93">
        <v>79941</v>
      </c>
      <c r="D93">
        <v>396</v>
      </c>
      <c r="E93">
        <v>47616</v>
      </c>
      <c r="F93">
        <v>38</v>
      </c>
      <c r="G93">
        <v>40</v>
      </c>
      <c r="H93" t="b">
        <v>0</v>
      </c>
      <c r="I93">
        <f t="shared" si="2"/>
        <v>0</v>
      </c>
      <c r="J93" t="str">
        <f t="shared" si="3"/>
        <v>300-450 (Poor)</v>
      </c>
      <c r="K93" s="1"/>
    </row>
    <row r="94" spans="1:11" x14ac:dyDescent="0.35">
      <c r="A94" t="s">
        <v>813</v>
      </c>
      <c r="B94" t="s">
        <v>814</v>
      </c>
      <c r="C94">
        <v>50289</v>
      </c>
      <c r="D94">
        <v>675</v>
      </c>
      <c r="E94">
        <v>47603</v>
      </c>
      <c r="F94">
        <v>2</v>
      </c>
      <c r="G94">
        <v>50</v>
      </c>
      <c r="H94" t="b">
        <v>0</v>
      </c>
      <c r="I94">
        <f t="shared" si="2"/>
        <v>0</v>
      </c>
      <c r="J94" t="str">
        <f t="shared" si="3"/>
        <v>601-750 (Good)</v>
      </c>
      <c r="K94" s="1"/>
    </row>
    <row r="95" spans="1:11" x14ac:dyDescent="0.35">
      <c r="A95" t="s">
        <v>871</v>
      </c>
      <c r="B95" t="s">
        <v>872</v>
      </c>
      <c r="C95">
        <v>60828</v>
      </c>
      <c r="D95">
        <v>630</v>
      </c>
      <c r="E95">
        <v>47553</v>
      </c>
      <c r="F95">
        <v>7</v>
      </c>
      <c r="G95">
        <v>45</v>
      </c>
      <c r="H95" t="b">
        <v>0</v>
      </c>
      <c r="I95">
        <f t="shared" si="2"/>
        <v>0</v>
      </c>
      <c r="J95" t="str">
        <f t="shared" si="3"/>
        <v>601-750 (Good)</v>
      </c>
      <c r="K95" s="1"/>
    </row>
    <row r="96" spans="1:11" x14ac:dyDescent="0.35">
      <c r="A96" t="s">
        <v>594</v>
      </c>
      <c r="B96" t="s">
        <v>595</v>
      </c>
      <c r="C96">
        <v>102603</v>
      </c>
      <c r="D96">
        <v>725</v>
      </c>
      <c r="E96">
        <v>47539</v>
      </c>
      <c r="F96">
        <v>28</v>
      </c>
      <c r="G96">
        <v>70</v>
      </c>
      <c r="H96" t="b">
        <v>1</v>
      </c>
      <c r="I96">
        <f t="shared" si="2"/>
        <v>1</v>
      </c>
      <c r="J96" t="str">
        <f t="shared" si="3"/>
        <v>601-750 (Good)</v>
      </c>
      <c r="K96" s="1"/>
    </row>
    <row r="97" spans="1:11" x14ac:dyDescent="0.35">
      <c r="A97" t="s">
        <v>1946</v>
      </c>
      <c r="B97" t="s">
        <v>1947</v>
      </c>
      <c r="C97">
        <v>78351</v>
      </c>
      <c r="D97">
        <v>355</v>
      </c>
      <c r="E97">
        <v>47503</v>
      </c>
      <c r="F97">
        <v>19</v>
      </c>
      <c r="G97">
        <v>40</v>
      </c>
      <c r="H97" t="b">
        <v>0</v>
      </c>
      <c r="I97">
        <f t="shared" si="2"/>
        <v>0</v>
      </c>
      <c r="J97" t="str">
        <f t="shared" si="3"/>
        <v>300-450 (Poor)</v>
      </c>
      <c r="K97" s="1"/>
    </row>
    <row r="98" spans="1:11" x14ac:dyDescent="0.35">
      <c r="A98" t="s">
        <v>388</v>
      </c>
      <c r="B98" t="s">
        <v>389</v>
      </c>
      <c r="C98">
        <v>142824</v>
      </c>
      <c r="D98">
        <v>630</v>
      </c>
      <c r="E98">
        <v>47486</v>
      </c>
      <c r="F98">
        <v>14</v>
      </c>
      <c r="G98">
        <v>65</v>
      </c>
      <c r="H98" t="b">
        <v>1</v>
      </c>
      <c r="I98">
        <f t="shared" si="2"/>
        <v>1</v>
      </c>
      <c r="J98" t="str">
        <f t="shared" si="3"/>
        <v>601-750 (Good)</v>
      </c>
      <c r="K98" s="1"/>
    </row>
    <row r="99" spans="1:11" x14ac:dyDescent="0.35">
      <c r="A99" t="s">
        <v>3265</v>
      </c>
      <c r="B99" t="s">
        <v>3266</v>
      </c>
      <c r="C99">
        <v>148509</v>
      </c>
      <c r="D99">
        <v>609</v>
      </c>
      <c r="E99">
        <v>47472</v>
      </c>
      <c r="F99">
        <v>13</v>
      </c>
      <c r="G99">
        <v>65</v>
      </c>
      <c r="H99" t="b">
        <v>1</v>
      </c>
      <c r="I99">
        <f t="shared" si="2"/>
        <v>1</v>
      </c>
      <c r="J99" t="str">
        <f t="shared" si="3"/>
        <v>601-750 (Good)</v>
      </c>
      <c r="K99" s="1"/>
    </row>
    <row r="100" spans="1:11" x14ac:dyDescent="0.35">
      <c r="A100" t="s">
        <v>723</v>
      </c>
      <c r="B100" t="s">
        <v>698</v>
      </c>
      <c r="C100">
        <v>66509</v>
      </c>
      <c r="D100">
        <v>390</v>
      </c>
      <c r="E100">
        <v>47462</v>
      </c>
      <c r="F100">
        <v>40</v>
      </c>
      <c r="G100">
        <v>35</v>
      </c>
      <c r="H100" t="b">
        <v>0</v>
      </c>
      <c r="I100">
        <f t="shared" si="2"/>
        <v>0</v>
      </c>
      <c r="J100" t="str">
        <f t="shared" si="3"/>
        <v>300-450 (Poor)</v>
      </c>
      <c r="K100" s="1"/>
    </row>
    <row r="101" spans="1:11" x14ac:dyDescent="0.35">
      <c r="A101" t="s">
        <v>3116</v>
      </c>
      <c r="B101" t="s">
        <v>3117</v>
      </c>
      <c r="C101">
        <v>99621</v>
      </c>
      <c r="D101">
        <v>321</v>
      </c>
      <c r="E101">
        <v>47426</v>
      </c>
      <c r="F101">
        <v>33</v>
      </c>
      <c r="G101">
        <v>40</v>
      </c>
      <c r="H101" t="b">
        <v>0</v>
      </c>
      <c r="I101">
        <f t="shared" si="2"/>
        <v>0</v>
      </c>
      <c r="J101" t="str">
        <f t="shared" si="3"/>
        <v>300-450 (Poor)</v>
      </c>
      <c r="K101" s="1"/>
    </row>
    <row r="102" spans="1:11" x14ac:dyDescent="0.35">
      <c r="A102" t="s">
        <v>3012</v>
      </c>
      <c r="B102" t="s">
        <v>3013</v>
      </c>
      <c r="C102">
        <v>74375</v>
      </c>
      <c r="D102">
        <v>534</v>
      </c>
      <c r="E102">
        <v>47406</v>
      </c>
      <c r="F102">
        <v>37</v>
      </c>
      <c r="G102">
        <v>35</v>
      </c>
      <c r="H102" t="b">
        <v>0</v>
      </c>
      <c r="I102">
        <f t="shared" si="2"/>
        <v>0</v>
      </c>
      <c r="J102" t="str">
        <f t="shared" si="3"/>
        <v>451-600 (Fair)</v>
      </c>
      <c r="K102" s="1"/>
    </row>
    <row r="103" spans="1:11" x14ac:dyDescent="0.35">
      <c r="A103" t="s">
        <v>3645</v>
      </c>
      <c r="B103" t="s">
        <v>3646</v>
      </c>
      <c r="C103">
        <v>136568</v>
      </c>
      <c r="D103">
        <v>802</v>
      </c>
      <c r="E103">
        <v>47394</v>
      </c>
      <c r="F103">
        <v>20</v>
      </c>
      <c r="G103">
        <v>90</v>
      </c>
      <c r="H103" t="b">
        <v>1</v>
      </c>
      <c r="I103">
        <f t="shared" si="2"/>
        <v>1</v>
      </c>
      <c r="J103" t="str">
        <f t="shared" si="3"/>
        <v>751-850 (Excellent)</v>
      </c>
      <c r="K103" s="1"/>
    </row>
    <row r="104" spans="1:11" x14ac:dyDescent="0.35">
      <c r="A104" t="s">
        <v>1457</v>
      </c>
      <c r="B104" t="s">
        <v>1458</v>
      </c>
      <c r="C104">
        <v>58010</v>
      </c>
      <c r="D104">
        <v>816</v>
      </c>
      <c r="E104">
        <v>47383</v>
      </c>
      <c r="F104">
        <v>30</v>
      </c>
      <c r="G104">
        <v>75</v>
      </c>
      <c r="H104" t="b">
        <v>1</v>
      </c>
      <c r="I104">
        <f t="shared" si="2"/>
        <v>1</v>
      </c>
      <c r="J104" t="str">
        <f t="shared" si="3"/>
        <v>751-850 (Excellent)</v>
      </c>
      <c r="K104" s="1"/>
    </row>
    <row r="105" spans="1:11" x14ac:dyDescent="0.35">
      <c r="A105" t="s">
        <v>1581</v>
      </c>
      <c r="B105" t="s">
        <v>1582</v>
      </c>
      <c r="C105">
        <v>90889</v>
      </c>
      <c r="D105">
        <v>771</v>
      </c>
      <c r="E105">
        <v>47380</v>
      </c>
      <c r="F105">
        <v>30</v>
      </c>
      <c r="G105">
        <v>75</v>
      </c>
      <c r="H105" t="b">
        <v>1</v>
      </c>
      <c r="I105">
        <f t="shared" si="2"/>
        <v>1</v>
      </c>
      <c r="J105" t="str">
        <f t="shared" si="3"/>
        <v>751-850 (Excellent)</v>
      </c>
      <c r="K105" s="1"/>
    </row>
    <row r="106" spans="1:11" x14ac:dyDescent="0.35">
      <c r="A106" t="s">
        <v>313</v>
      </c>
      <c r="B106" t="s">
        <v>314</v>
      </c>
      <c r="C106">
        <v>64718</v>
      </c>
      <c r="D106">
        <v>553</v>
      </c>
      <c r="E106">
        <v>47374</v>
      </c>
      <c r="F106">
        <v>28</v>
      </c>
      <c r="G106">
        <v>35</v>
      </c>
      <c r="H106" t="b">
        <v>0</v>
      </c>
      <c r="I106">
        <f t="shared" si="2"/>
        <v>0</v>
      </c>
      <c r="J106" t="str">
        <f t="shared" si="3"/>
        <v>451-600 (Fair)</v>
      </c>
      <c r="K106" s="1"/>
    </row>
    <row r="107" spans="1:11" x14ac:dyDescent="0.35">
      <c r="A107" t="s">
        <v>2073</v>
      </c>
      <c r="B107" t="s">
        <v>2074</v>
      </c>
      <c r="C107">
        <v>98386</v>
      </c>
      <c r="D107">
        <v>646</v>
      </c>
      <c r="E107">
        <v>47363</v>
      </c>
      <c r="F107">
        <v>5</v>
      </c>
      <c r="G107">
        <v>50</v>
      </c>
      <c r="H107" t="b">
        <v>0</v>
      </c>
      <c r="I107">
        <f t="shared" si="2"/>
        <v>0</v>
      </c>
      <c r="J107" t="str">
        <f t="shared" si="3"/>
        <v>601-750 (Good)</v>
      </c>
      <c r="K107" s="1"/>
    </row>
    <row r="108" spans="1:11" x14ac:dyDescent="0.35">
      <c r="A108" t="s">
        <v>2830</v>
      </c>
      <c r="B108" t="s">
        <v>2831</v>
      </c>
      <c r="C108">
        <v>61946</v>
      </c>
      <c r="D108">
        <v>571</v>
      </c>
      <c r="E108">
        <v>47359</v>
      </c>
      <c r="F108">
        <v>31</v>
      </c>
      <c r="G108">
        <v>35</v>
      </c>
      <c r="H108" t="b">
        <v>0</v>
      </c>
      <c r="I108">
        <f t="shared" si="2"/>
        <v>0</v>
      </c>
      <c r="J108" t="str">
        <f t="shared" si="3"/>
        <v>451-600 (Fair)</v>
      </c>
      <c r="K108" s="1"/>
    </row>
    <row r="109" spans="1:11" x14ac:dyDescent="0.35">
      <c r="A109" t="s">
        <v>1170</v>
      </c>
      <c r="B109" t="s">
        <v>1171</v>
      </c>
      <c r="C109">
        <v>143325</v>
      </c>
      <c r="D109">
        <v>836</v>
      </c>
      <c r="E109">
        <v>47352</v>
      </c>
      <c r="F109">
        <v>24</v>
      </c>
      <c r="G109">
        <v>90</v>
      </c>
      <c r="H109" t="b">
        <v>1</v>
      </c>
      <c r="I109">
        <f t="shared" si="2"/>
        <v>1</v>
      </c>
      <c r="J109" t="str">
        <f t="shared" si="3"/>
        <v>751-850 (Excellent)</v>
      </c>
      <c r="K109" s="1"/>
    </row>
    <row r="110" spans="1:11" x14ac:dyDescent="0.35">
      <c r="A110" t="s">
        <v>127</v>
      </c>
      <c r="B110" t="s">
        <v>128</v>
      </c>
      <c r="C110">
        <v>141082</v>
      </c>
      <c r="D110">
        <v>456</v>
      </c>
      <c r="E110">
        <v>47295</v>
      </c>
      <c r="F110">
        <v>13</v>
      </c>
      <c r="G110">
        <v>50</v>
      </c>
      <c r="H110" t="b">
        <v>0</v>
      </c>
      <c r="I110">
        <f t="shared" si="2"/>
        <v>0</v>
      </c>
      <c r="J110" t="str">
        <f t="shared" si="3"/>
        <v>451-600 (Fair)</v>
      </c>
      <c r="K110" s="1"/>
    </row>
    <row r="111" spans="1:11" x14ac:dyDescent="0.35">
      <c r="A111" t="s">
        <v>1634</v>
      </c>
      <c r="B111" t="s">
        <v>1635</v>
      </c>
      <c r="C111">
        <v>147598</v>
      </c>
      <c r="D111">
        <v>406</v>
      </c>
      <c r="E111">
        <v>47294</v>
      </c>
      <c r="F111">
        <v>3</v>
      </c>
      <c r="G111">
        <v>40</v>
      </c>
      <c r="H111" t="b">
        <v>0</v>
      </c>
      <c r="I111">
        <f t="shared" si="2"/>
        <v>0</v>
      </c>
      <c r="J111" t="str">
        <f t="shared" si="3"/>
        <v>300-450 (Poor)</v>
      </c>
      <c r="K111" s="1"/>
    </row>
    <row r="112" spans="1:11" x14ac:dyDescent="0.35">
      <c r="A112" t="s">
        <v>1890</v>
      </c>
      <c r="B112" t="s">
        <v>1891</v>
      </c>
      <c r="C112">
        <v>128176</v>
      </c>
      <c r="D112">
        <v>707</v>
      </c>
      <c r="E112">
        <v>47272</v>
      </c>
      <c r="F112">
        <v>37</v>
      </c>
      <c r="G112">
        <v>75</v>
      </c>
      <c r="H112" t="b">
        <v>1</v>
      </c>
      <c r="I112">
        <f t="shared" si="2"/>
        <v>1</v>
      </c>
      <c r="J112" t="str">
        <f t="shared" si="3"/>
        <v>601-750 (Good)</v>
      </c>
      <c r="K112" s="1"/>
    </row>
    <row r="113" spans="1:11" x14ac:dyDescent="0.35">
      <c r="A113" t="s">
        <v>1793</v>
      </c>
      <c r="B113" t="s">
        <v>1794</v>
      </c>
      <c r="C113">
        <v>93654</v>
      </c>
      <c r="D113">
        <v>495</v>
      </c>
      <c r="E113">
        <v>47244</v>
      </c>
      <c r="F113">
        <v>38</v>
      </c>
      <c r="G113">
        <v>40</v>
      </c>
      <c r="H113" t="b">
        <v>0</v>
      </c>
      <c r="I113">
        <f t="shared" si="2"/>
        <v>0</v>
      </c>
      <c r="J113" t="str">
        <f t="shared" si="3"/>
        <v>451-600 (Fair)</v>
      </c>
      <c r="K113" s="1"/>
    </row>
    <row r="114" spans="1:11" x14ac:dyDescent="0.35">
      <c r="A114" t="s">
        <v>974</v>
      </c>
      <c r="B114" t="s">
        <v>975</v>
      </c>
      <c r="C114">
        <v>87433</v>
      </c>
      <c r="D114">
        <v>652</v>
      </c>
      <c r="E114">
        <v>47235</v>
      </c>
      <c r="F114">
        <v>25</v>
      </c>
      <c r="G114">
        <v>55</v>
      </c>
      <c r="H114" t="b">
        <v>0</v>
      </c>
      <c r="I114">
        <f t="shared" si="2"/>
        <v>0</v>
      </c>
      <c r="J114" t="str">
        <f t="shared" si="3"/>
        <v>601-750 (Good)</v>
      </c>
      <c r="K114" s="1"/>
    </row>
    <row r="115" spans="1:11" x14ac:dyDescent="0.35">
      <c r="A115" t="s">
        <v>2371</v>
      </c>
      <c r="B115" t="s">
        <v>2372</v>
      </c>
      <c r="C115">
        <v>39710</v>
      </c>
      <c r="D115">
        <v>806</v>
      </c>
      <c r="E115">
        <v>47219</v>
      </c>
      <c r="F115">
        <v>22</v>
      </c>
      <c r="G115">
        <v>65</v>
      </c>
      <c r="H115" t="b">
        <v>1</v>
      </c>
      <c r="I115">
        <f t="shared" si="2"/>
        <v>1</v>
      </c>
      <c r="J115" t="str">
        <f t="shared" si="3"/>
        <v>751-850 (Excellent)</v>
      </c>
      <c r="K115" s="1"/>
    </row>
    <row r="116" spans="1:11" x14ac:dyDescent="0.35">
      <c r="A116" t="s">
        <v>1268</v>
      </c>
      <c r="B116" t="s">
        <v>1269</v>
      </c>
      <c r="C116">
        <v>76025</v>
      </c>
      <c r="D116">
        <v>794</v>
      </c>
      <c r="E116">
        <v>47195</v>
      </c>
      <c r="F116">
        <v>23</v>
      </c>
      <c r="G116">
        <v>75</v>
      </c>
      <c r="H116" t="b">
        <v>1</v>
      </c>
      <c r="I116">
        <f t="shared" si="2"/>
        <v>1</v>
      </c>
      <c r="J116" t="str">
        <f t="shared" si="3"/>
        <v>751-850 (Excellent)</v>
      </c>
      <c r="K116" s="1"/>
    </row>
    <row r="117" spans="1:11" x14ac:dyDescent="0.35">
      <c r="A117" t="s">
        <v>21</v>
      </c>
      <c r="B117" t="s">
        <v>22</v>
      </c>
      <c r="C117">
        <v>66048</v>
      </c>
      <c r="D117">
        <v>496</v>
      </c>
      <c r="E117">
        <v>47174</v>
      </c>
      <c r="F117">
        <v>4</v>
      </c>
      <c r="G117">
        <v>25</v>
      </c>
      <c r="H117" t="b">
        <v>0</v>
      </c>
      <c r="I117">
        <f t="shared" si="2"/>
        <v>0</v>
      </c>
      <c r="J117" t="str">
        <f t="shared" si="3"/>
        <v>451-600 (Fair)</v>
      </c>
      <c r="K117" s="1"/>
    </row>
    <row r="118" spans="1:11" x14ac:dyDescent="0.35">
      <c r="A118" t="s">
        <v>900</v>
      </c>
      <c r="B118" t="s">
        <v>901</v>
      </c>
      <c r="C118">
        <v>98522</v>
      </c>
      <c r="D118">
        <v>850</v>
      </c>
      <c r="E118">
        <v>47054</v>
      </c>
      <c r="F118">
        <v>27</v>
      </c>
      <c r="G118">
        <v>80</v>
      </c>
      <c r="H118" t="b">
        <v>1</v>
      </c>
      <c r="I118">
        <f t="shared" si="2"/>
        <v>1</v>
      </c>
      <c r="J118" t="str">
        <f t="shared" si="3"/>
        <v>751-850 (Excellent)</v>
      </c>
      <c r="K118" s="1"/>
    </row>
    <row r="119" spans="1:11" x14ac:dyDescent="0.35">
      <c r="A119" t="s">
        <v>2120</v>
      </c>
      <c r="B119" t="s">
        <v>2121</v>
      </c>
      <c r="C119">
        <v>104691</v>
      </c>
      <c r="D119">
        <v>432</v>
      </c>
      <c r="E119">
        <v>47049</v>
      </c>
      <c r="F119">
        <v>6</v>
      </c>
      <c r="G119">
        <v>40</v>
      </c>
      <c r="H119" t="b">
        <v>0</v>
      </c>
      <c r="I119">
        <f t="shared" si="2"/>
        <v>0</v>
      </c>
      <c r="J119" t="str">
        <f t="shared" si="3"/>
        <v>300-450 (Poor)</v>
      </c>
      <c r="K119" s="1"/>
    </row>
    <row r="120" spans="1:11" x14ac:dyDescent="0.35">
      <c r="A120" t="s">
        <v>2848</v>
      </c>
      <c r="B120" t="s">
        <v>2278</v>
      </c>
      <c r="C120">
        <v>145255</v>
      </c>
      <c r="D120">
        <v>629</v>
      </c>
      <c r="E120">
        <v>47034</v>
      </c>
      <c r="F120">
        <v>15</v>
      </c>
      <c r="G120">
        <v>65</v>
      </c>
      <c r="H120" t="b">
        <v>1</v>
      </c>
      <c r="I120">
        <f t="shared" si="2"/>
        <v>1</v>
      </c>
      <c r="J120" t="str">
        <f t="shared" si="3"/>
        <v>601-750 (Good)</v>
      </c>
      <c r="K120" s="1"/>
    </row>
    <row r="121" spans="1:11" x14ac:dyDescent="0.35">
      <c r="A121" t="s">
        <v>2168</v>
      </c>
      <c r="B121" t="s">
        <v>2169</v>
      </c>
      <c r="C121">
        <v>55042</v>
      </c>
      <c r="D121">
        <v>590</v>
      </c>
      <c r="E121">
        <v>47012</v>
      </c>
      <c r="F121">
        <v>39</v>
      </c>
      <c r="G121">
        <v>50</v>
      </c>
      <c r="H121" t="b">
        <v>0</v>
      </c>
      <c r="I121">
        <f t="shared" si="2"/>
        <v>0</v>
      </c>
      <c r="J121" t="str">
        <f t="shared" si="3"/>
        <v>451-600 (Fair)</v>
      </c>
      <c r="K121" s="1"/>
    </row>
    <row r="122" spans="1:11" x14ac:dyDescent="0.35">
      <c r="A122" t="s">
        <v>3750</v>
      </c>
      <c r="B122" t="s">
        <v>3751</v>
      </c>
      <c r="C122">
        <v>149111</v>
      </c>
      <c r="D122">
        <v>731</v>
      </c>
      <c r="E122">
        <v>47006</v>
      </c>
      <c r="F122">
        <v>40</v>
      </c>
      <c r="G122">
        <v>75</v>
      </c>
      <c r="H122" t="b">
        <v>1</v>
      </c>
      <c r="I122">
        <f t="shared" si="2"/>
        <v>1</v>
      </c>
      <c r="J122" t="str">
        <f t="shared" si="3"/>
        <v>601-750 (Good)</v>
      </c>
      <c r="K122" s="1"/>
    </row>
    <row r="123" spans="1:11" x14ac:dyDescent="0.35">
      <c r="A123" t="s">
        <v>2283</v>
      </c>
      <c r="B123" t="s">
        <v>2284</v>
      </c>
      <c r="C123">
        <v>129641</v>
      </c>
      <c r="D123">
        <v>832</v>
      </c>
      <c r="E123">
        <v>46995</v>
      </c>
      <c r="F123">
        <v>21</v>
      </c>
      <c r="G123">
        <v>90</v>
      </c>
      <c r="H123" t="b">
        <v>1</v>
      </c>
      <c r="I123">
        <f t="shared" si="2"/>
        <v>1</v>
      </c>
      <c r="J123" t="str">
        <f t="shared" si="3"/>
        <v>751-850 (Excellent)</v>
      </c>
      <c r="K123" s="1"/>
    </row>
    <row r="124" spans="1:11" x14ac:dyDescent="0.35">
      <c r="A124" t="s">
        <v>2309</v>
      </c>
      <c r="B124" t="s">
        <v>2310</v>
      </c>
      <c r="C124">
        <v>122801</v>
      </c>
      <c r="D124">
        <v>354</v>
      </c>
      <c r="E124">
        <v>46978</v>
      </c>
      <c r="F124">
        <v>13</v>
      </c>
      <c r="G124">
        <v>50</v>
      </c>
      <c r="H124" t="b">
        <v>0</v>
      </c>
      <c r="I124">
        <f t="shared" si="2"/>
        <v>0</v>
      </c>
      <c r="J124" t="str">
        <f t="shared" si="3"/>
        <v>300-450 (Poor)</v>
      </c>
      <c r="K124" s="1"/>
    </row>
    <row r="125" spans="1:11" x14ac:dyDescent="0.35">
      <c r="A125" t="s">
        <v>867</v>
      </c>
      <c r="B125" t="s">
        <v>868</v>
      </c>
      <c r="C125">
        <v>118501</v>
      </c>
      <c r="D125">
        <v>606</v>
      </c>
      <c r="E125">
        <v>46973</v>
      </c>
      <c r="F125">
        <v>35</v>
      </c>
      <c r="G125">
        <v>65</v>
      </c>
      <c r="H125" t="b">
        <v>1</v>
      </c>
      <c r="I125">
        <f t="shared" si="2"/>
        <v>1</v>
      </c>
      <c r="J125" t="str">
        <f t="shared" si="3"/>
        <v>601-750 (Good)</v>
      </c>
      <c r="K125" s="1"/>
    </row>
    <row r="126" spans="1:11" x14ac:dyDescent="0.35">
      <c r="A126" t="s">
        <v>2750</v>
      </c>
      <c r="B126" t="s">
        <v>2751</v>
      </c>
      <c r="C126">
        <v>65003</v>
      </c>
      <c r="D126">
        <v>534</v>
      </c>
      <c r="E126">
        <v>46954</v>
      </c>
      <c r="F126">
        <v>5</v>
      </c>
      <c r="G126">
        <v>30</v>
      </c>
      <c r="H126" t="b">
        <v>0</v>
      </c>
      <c r="I126">
        <f t="shared" si="2"/>
        <v>0</v>
      </c>
      <c r="J126" t="str">
        <f t="shared" si="3"/>
        <v>451-600 (Fair)</v>
      </c>
      <c r="K126" s="1"/>
    </row>
    <row r="127" spans="1:11" x14ac:dyDescent="0.35">
      <c r="A127" t="s">
        <v>906</v>
      </c>
      <c r="B127" t="s">
        <v>907</v>
      </c>
      <c r="C127">
        <v>56772</v>
      </c>
      <c r="D127">
        <v>346</v>
      </c>
      <c r="E127">
        <v>46933</v>
      </c>
      <c r="F127">
        <v>4</v>
      </c>
      <c r="G127">
        <v>25</v>
      </c>
      <c r="H127" t="b">
        <v>0</v>
      </c>
      <c r="I127">
        <f t="shared" si="2"/>
        <v>0</v>
      </c>
      <c r="J127" t="str">
        <f t="shared" si="3"/>
        <v>300-450 (Poor)</v>
      </c>
      <c r="K127" s="1"/>
    </row>
    <row r="128" spans="1:11" x14ac:dyDescent="0.35">
      <c r="A128" t="s">
        <v>677</v>
      </c>
      <c r="B128" t="s">
        <v>678</v>
      </c>
      <c r="C128">
        <v>91213</v>
      </c>
      <c r="D128">
        <v>702</v>
      </c>
      <c r="E128">
        <v>46922</v>
      </c>
      <c r="F128">
        <v>20</v>
      </c>
      <c r="G128">
        <v>65</v>
      </c>
      <c r="H128" t="b">
        <v>1</v>
      </c>
      <c r="I128">
        <f t="shared" si="2"/>
        <v>1</v>
      </c>
      <c r="J128" t="str">
        <f t="shared" si="3"/>
        <v>601-750 (Good)</v>
      </c>
      <c r="K128" s="1"/>
    </row>
    <row r="129" spans="1:11" x14ac:dyDescent="0.35">
      <c r="A129" t="s">
        <v>3024</v>
      </c>
      <c r="B129" t="s">
        <v>76</v>
      </c>
      <c r="C129">
        <v>141642</v>
      </c>
      <c r="D129">
        <v>733</v>
      </c>
      <c r="E129">
        <v>46917</v>
      </c>
      <c r="F129">
        <v>0</v>
      </c>
      <c r="G129">
        <v>60</v>
      </c>
      <c r="H129" t="b">
        <v>1</v>
      </c>
      <c r="I129">
        <f t="shared" si="2"/>
        <v>1</v>
      </c>
      <c r="J129" t="str">
        <f t="shared" si="3"/>
        <v>601-750 (Good)</v>
      </c>
      <c r="K129" s="1"/>
    </row>
    <row r="130" spans="1:11" x14ac:dyDescent="0.35">
      <c r="A130" t="s">
        <v>3099</v>
      </c>
      <c r="B130" t="s">
        <v>3100</v>
      </c>
      <c r="C130">
        <v>72516</v>
      </c>
      <c r="D130">
        <v>561</v>
      </c>
      <c r="E130">
        <v>46916</v>
      </c>
      <c r="F130">
        <v>30</v>
      </c>
      <c r="G130">
        <v>35</v>
      </c>
      <c r="H130" t="b">
        <v>0</v>
      </c>
      <c r="I130">
        <f t="shared" si="2"/>
        <v>0</v>
      </c>
      <c r="J130" t="str">
        <f t="shared" si="3"/>
        <v>451-600 (Fair)</v>
      </c>
      <c r="K130" s="1"/>
    </row>
    <row r="131" spans="1:11" x14ac:dyDescent="0.35">
      <c r="A131" t="s">
        <v>3675</v>
      </c>
      <c r="B131" t="s">
        <v>3676</v>
      </c>
      <c r="C131">
        <v>134662</v>
      </c>
      <c r="D131">
        <v>498</v>
      </c>
      <c r="E131">
        <v>46916</v>
      </c>
      <c r="F131">
        <v>23</v>
      </c>
      <c r="G131">
        <v>50</v>
      </c>
      <c r="H131" t="b">
        <v>0</v>
      </c>
      <c r="I131">
        <f t="shared" si="2"/>
        <v>0</v>
      </c>
      <c r="J131" t="str">
        <f t="shared" si="3"/>
        <v>451-600 (Fair)</v>
      </c>
      <c r="K131" s="1"/>
    </row>
    <row r="132" spans="1:11" x14ac:dyDescent="0.35">
      <c r="A132" t="s">
        <v>1821</v>
      </c>
      <c r="B132" t="s">
        <v>1822</v>
      </c>
      <c r="C132">
        <v>100008</v>
      </c>
      <c r="D132">
        <v>655</v>
      </c>
      <c r="E132">
        <v>46895</v>
      </c>
      <c r="F132">
        <v>19</v>
      </c>
      <c r="G132">
        <v>60</v>
      </c>
      <c r="H132" t="b">
        <v>1</v>
      </c>
      <c r="I132">
        <f t="shared" ref="I132:I195" si="4">--H132</f>
        <v>1</v>
      </c>
      <c r="J132" t="str">
        <f t="shared" ref="J132:J195" si="5">IF(D132&gt;750, "751-850 (Excellent)", IF(D132&gt;600, "601-750 (Good)", IF(D132&gt;450, "451-600 (Fair)", "300-450 (Poor)")))</f>
        <v>601-750 (Good)</v>
      </c>
      <c r="K132" s="1"/>
    </row>
    <row r="133" spans="1:11" x14ac:dyDescent="0.35">
      <c r="A133" t="s">
        <v>2137</v>
      </c>
      <c r="B133" t="s">
        <v>2138</v>
      </c>
      <c r="C133">
        <v>53834</v>
      </c>
      <c r="D133">
        <v>550</v>
      </c>
      <c r="E133">
        <v>46858</v>
      </c>
      <c r="F133">
        <v>35</v>
      </c>
      <c r="G133">
        <v>35</v>
      </c>
      <c r="H133" t="b">
        <v>0</v>
      </c>
      <c r="I133">
        <f t="shared" si="4"/>
        <v>0</v>
      </c>
      <c r="J133" t="str">
        <f t="shared" si="5"/>
        <v>451-600 (Fair)</v>
      </c>
      <c r="K133" s="1"/>
    </row>
    <row r="134" spans="1:11" x14ac:dyDescent="0.35">
      <c r="A134" t="s">
        <v>185</v>
      </c>
      <c r="B134" t="s">
        <v>186</v>
      </c>
      <c r="C134">
        <v>40458</v>
      </c>
      <c r="D134">
        <v>611</v>
      </c>
      <c r="E134">
        <v>46857</v>
      </c>
      <c r="F134">
        <v>25</v>
      </c>
      <c r="G134">
        <v>40</v>
      </c>
      <c r="H134" t="b">
        <v>0</v>
      </c>
      <c r="I134">
        <f t="shared" si="4"/>
        <v>0</v>
      </c>
      <c r="J134" t="str">
        <f t="shared" si="5"/>
        <v>601-750 (Good)</v>
      </c>
      <c r="K134" s="1"/>
    </row>
    <row r="135" spans="1:11" x14ac:dyDescent="0.35">
      <c r="A135" t="s">
        <v>1654</v>
      </c>
      <c r="B135" t="s">
        <v>1655</v>
      </c>
      <c r="C135">
        <v>113579</v>
      </c>
      <c r="D135">
        <v>752</v>
      </c>
      <c r="E135">
        <v>46709</v>
      </c>
      <c r="F135">
        <v>22</v>
      </c>
      <c r="G135">
        <v>80</v>
      </c>
      <c r="H135" t="b">
        <v>1</v>
      </c>
      <c r="I135">
        <f t="shared" si="4"/>
        <v>1</v>
      </c>
      <c r="J135" t="str">
        <f t="shared" si="5"/>
        <v>751-850 (Excellent)</v>
      </c>
      <c r="K135" s="1"/>
    </row>
    <row r="136" spans="1:11" x14ac:dyDescent="0.35">
      <c r="A136" t="s">
        <v>3250</v>
      </c>
      <c r="B136" t="s">
        <v>3251</v>
      </c>
      <c r="C136">
        <v>132014</v>
      </c>
      <c r="D136">
        <v>394</v>
      </c>
      <c r="E136">
        <v>46703</v>
      </c>
      <c r="F136">
        <v>9</v>
      </c>
      <c r="G136">
        <v>45</v>
      </c>
      <c r="H136" t="b">
        <v>0</v>
      </c>
      <c r="I136">
        <f t="shared" si="4"/>
        <v>0</v>
      </c>
      <c r="J136" t="str">
        <f t="shared" si="5"/>
        <v>300-450 (Poor)</v>
      </c>
      <c r="K136" s="1"/>
    </row>
    <row r="137" spans="1:11" x14ac:dyDescent="0.35">
      <c r="A137" t="s">
        <v>107</v>
      </c>
      <c r="B137" t="s">
        <v>108</v>
      </c>
      <c r="C137">
        <v>66421</v>
      </c>
      <c r="D137">
        <v>712</v>
      </c>
      <c r="E137">
        <v>46692</v>
      </c>
      <c r="F137">
        <v>18</v>
      </c>
      <c r="G137">
        <v>60</v>
      </c>
      <c r="H137" t="b">
        <v>1</v>
      </c>
      <c r="I137">
        <f t="shared" si="4"/>
        <v>1</v>
      </c>
      <c r="J137" t="str">
        <f t="shared" si="5"/>
        <v>601-750 (Good)</v>
      </c>
      <c r="K137" s="1"/>
    </row>
    <row r="138" spans="1:11" x14ac:dyDescent="0.35">
      <c r="A138" t="s">
        <v>2466</v>
      </c>
      <c r="B138" t="s">
        <v>2467</v>
      </c>
      <c r="C138">
        <v>39838</v>
      </c>
      <c r="D138">
        <v>655</v>
      </c>
      <c r="E138">
        <v>46676</v>
      </c>
      <c r="F138">
        <v>25</v>
      </c>
      <c r="G138">
        <v>40</v>
      </c>
      <c r="H138" t="b">
        <v>0</v>
      </c>
      <c r="I138">
        <f t="shared" si="4"/>
        <v>0</v>
      </c>
      <c r="J138" t="str">
        <f t="shared" si="5"/>
        <v>601-750 (Good)</v>
      </c>
      <c r="K138" s="1"/>
    </row>
    <row r="139" spans="1:11" x14ac:dyDescent="0.35">
      <c r="A139" t="s">
        <v>3774</v>
      </c>
      <c r="B139" t="s">
        <v>3775</v>
      </c>
      <c r="C139">
        <v>44150</v>
      </c>
      <c r="D139">
        <v>705</v>
      </c>
      <c r="E139">
        <v>46644</v>
      </c>
      <c r="F139">
        <v>39</v>
      </c>
      <c r="G139">
        <v>50</v>
      </c>
      <c r="H139" t="b">
        <v>0</v>
      </c>
      <c r="I139">
        <f t="shared" si="4"/>
        <v>0</v>
      </c>
      <c r="J139" t="str">
        <f t="shared" si="5"/>
        <v>601-750 (Good)</v>
      </c>
      <c r="K139" s="1"/>
    </row>
    <row r="140" spans="1:11" x14ac:dyDescent="0.35">
      <c r="A140" t="s">
        <v>1884</v>
      </c>
      <c r="B140" t="s">
        <v>1885</v>
      </c>
      <c r="C140">
        <v>40735</v>
      </c>
      <c r="D140">
        <v>677</v>
      </c>
      <c r="E140">
        <v>46642</v>
      </c>
      <c r="F140">
        <v>3</v>
      </c>
      <c r="G140">
        <v>40</v>
      </c>
      <c r="H140" t="b">
        <v>0</v>
      </c>
      <c r="I140">
        <f t="shared" si="4"/>
        <v>0</v>
      </c>
      <c r="J140" t="str">
        <f t="shared" si="5"/>
        <v>601-750 (Good)</v>
      </c>
      <c r="K140" s="1"/>
    </row>
    <row r="141" spans="1:11" x14ac:dyDescent="0.35">
      <c r="A141" t="s">
        <v>2160</v>
      </c>
      <c r="B141" t="s">
        <v>2161</v>
      </c>
      <c r="C141">
        <v>66211</v>
      </c>
      <c r="D141">
        <v>730</v>
      </c>
      <c r="E141">
        <v>46642</v>
      </c>
      <c r="F141">
        <v>34</v>
      </c>
      <c r="G141">
        <v>60</v>
      </c>
      <c r="H141" t="b">
        <v>1</v>
      </c>
      <c r="I141">
        <f t="shared" si="4"/>
        <v>1</v>
      </c>
      <c r="J141" t="str">
        <f t="shared" si="5"/>
        <v>601-750 (Good)</v>
      </c>
      <c r="K141" s="1"/>
    </row>
    <row r="142" spans="1:11" x14ac:dyDescent="0.35">
      <c r="A142" t="s">
        <v>3808</v>
      </c>
      <c r="B142" t="s">
        <v>3809</v>
      </c>
      <c r="C142">
        <v>123343</v>
      </c>
      <c r="D142">
        <v>654</v>
      </c>
      <c r="E142">
        <v>46641</v>
      </c>
      <c r="F142">
        <v>37</v>
      </c>
      <c r="G142">
        <v>65</v>
      </c>
      <c r="H142" t="b">
        <v>1</v>
      </c>
      <c r="I142">
        <f t="shared" si="4"/>
        <v>1</v>
      </c>
      <c r="J142" t="str">
        <f t="shared" si="5"/>
        <v>601-750 (Good)</v>
      </c>
      <c r="K142" s="1"/>
    </row>
    <row r="143" spans="1:11" x14ac:dyDescent="0.35">
      <c r="A143" t="s">
        <v>1334</v>
      </c>
      <c r="B143" t="s">
        <v>1335</v>
      </c>
      <c r="C143">
        <v>87154</v>
      </c>
      <c r="D143">
        <v>472</v>
      </c>
      <c r="E143">
        <v>46632</v>
      </c>
      <c r="F143">
        <v>23</v>
      </c>
      <c r="G143">
        <v>40</v>
      </c>
      <c r="H143" t="b">
        <v>0</v>
      </c>
      <c r="I143">
        <f t="shared" si="4"/>
        <v>0</v>
      </c>
      <c r="J143" t="str">
        <f t="shared" si="5"/>
        <v>451-600 (Fair)</v>
      </c>
      <c r="K143" s="1"/>
    </row>
    <row r="144" spans="1:11" x14ac:dyDescent="0.35">
      <c r="A144" t="s">
        <v>3466</v>
      </c>
      <c r="B144" t="s">
        <v>1975</v>
      </c>
      <c r="C144">
        <v>145898</v>
      </c>
      <c r="D144">
        <v>337</v>
      </c>
      <c r="E144">
        <v>46574</v>
      </c>
      <c r="F144">
        <v>18</v>
      </c>
      <c r="G144">
        <v>50</v>
      </c>
      <c r="H144" t="b">
        <v>0</v>
      </c>
      <c r="I144">
        <f t="shared" si="4"/>
        <v>0</v>
      </c>
      <c r="J144" t="str">
        <f t="shared" si="5"/>
        <v>300-450 (Poor)</v>
      </c>
      <c r="K144" s="1"/>
    </row>
    <row r="145" spans="1:11" x14ac:dyDescent="0.35">
      <c r="A145" t="s">
        <v>2966</v>
      </c>
      <c r="B145" t="s">
        <v>2967</v>
      </c>
      <c r="C145">
        <v>46547</v>
      </c>
      <c r="D145">
        <v>336</v>
      </c>
      <c r="E145">
        <v>46566</v>
      </c>
      <c r="F145">
        <v>17</v>
      </c>
      <c r="G145">
        <v>25</v>
      </c>
      <c r="H145" t="b">
        <v>0</v>
      </c>
      <c r="I145">
        <f t="shared" si="4"/>
        <v>0</v>
      </c>
      <c r="J145" t="str">
        <f t="shared" si="5"/>
        <v>300-450 (Poor)</v>
      </c>
      <c r="K145" s="1"/>
    </row>
    <row r="146" spans="1:11" x14ac:dyDescent="0.35">
      <c r="A146" t="s">
        <v>2243</v>
      </c>
      <c r="B146" t="s">
        <v>880</v>
      </c>
      <c r="C146">
        <v>65509</v>
      </c>
      <c r="D146">
        <v>510</v>
      </c>
      <c r="E146">
        <v>46545</v>
      </c>
      <c r="F146">
        <v>4</v>
      </c>
      <c r="G146">
        <v>25</v>
      </c>
      <c r="H146" t="b">
        <v>0</v>
      </c>
      <c r="I146">
        <f t="shared" si="4"/>
        <v>0</v>
      </c>
      <c r="J146" t="str">
        <f t="shared" si="5"/>
        <v>451-600 (Fair)</v>
      </c>
      <c r="K146" s="1"/>
    </row>
    <row r="147" spans="1:11" x14ac:dyDescent="0.35">
      <c r="A147" t="s">
        <v>3393</v>
      </c>
      <c r="B147" t="s">
        <v>3394</v>
      </c>
      <c r="C147">
        <v>39869</v>
      </c>
      <c r="D147">
        <v>418</v>
      </c>
      <c r="E147">
        <v>46515</v>
      </c>
      <c r="F147">
        <v>8</v>
      </c>
      <c r="G147">
        <v>20</v>
      </c>
      <c r="H147" t="b">
        <v>0</v>
      </c>
      <c r="I147">
        <f t="shared" si="4"/>
        <v>0</v>
      </c>
      <c r="J147" t="str">
        <f t="shared" si="5"/>
        <v>300-450 (Poor)</v>
      </c>
      <c r="K147" s="1"/>
    </row>
    <row r="148" spans="1:11" x14ac:dyDescent="0.35">
      <c r="A148" t="s">
        <v>1242</v>
      </c>
      <c r="B148" t="s">
        <v>1243</v>
      </c>
      <c r="C148">
        <v>144206</v>
      </c>
      <c r="D148">
        <v>513</v>
      </c>
      <c r="E148">
        <v>46485</v>
      </c>
      <c r="F148">
        <v>37</v>
      </c>
      <c r="G148">
        <v>50</v>
      </c>
      <c r="H148" t="b">
        <v>0</v>
      </c>
      <c r="I148">
        <f t="shared" si="4"/>
        <v>0</v>
      </c>
      <c r="J148" t="str">
        <f t="shared" si="5"/>
        <v>451-600 (Fair)</v>
      </c>
      <c r="K148" s="1"/>
    </row>
    <row r="149" spans="1:11" x14ac:dyDescent="0.35">
      <c r="A149" t="s">
        <v>2939</v>
      </c>
      <c r="B149" t="s">
        <v>2940</v>
      </c>
      <c r="C149">
        <v>127609</v>
      </c>
      <c r="D149">
        <v>324</v>
      </c>
      <c r="E149">
        <v>46479</v>
      </c>
      <c r="F149">
        <v>13</v>
      </c>
      <c r="G149">
        <v>50</v>
      </c>
      <c r="H149" t="b">
        <v>0</v>
      </c>
      <c r="I149">
        <f t="shared" si="4"/>
        <v>0</v>
      </c>
      <c r="J149" t="str">
        <f t="shared" si="5"/>
        <v>300-450 (Poor)</v>
      </c>
      <c r="K149" s="1"/>
    </row>
    <row r="150" spans="1:11" x14ac:dyDescent="0.35">
      <c r="A150" t="s">
        <v>3089</v>
      </c>
      <c r="B150" t="s">
        <v>3090</v>
      </c>
      <c r="C150">
        <v>120964</v>
      </c>
      <c r="D150">
        <v>459</v>
      </c>
      <c r="E150">
        <v>46478</v>
      </c>
      <c r="F150">
        <v>12</v>
      </c>
      <c r="G150">
        <v>50</v>
      </c>
      <c r="H150" t="b">
        <v>0</v>
      </c>
      <c r="I150">
        <f t="shared" si="4"/>
        <v>0</v>
      </c>
      <c r="J150" t="str">
        <f t="shared" si="5"/>
        <v>451-600 (Fair)</v>
      </c>
      <c r="K150" s="1"/>
    </row>
    <row r="151" spans="1:11" x14ac:dyDescent="0.35">
      <c r="A151" t="s">
        <v>528</v>
      </c>
      <c r="B151" t="s">
        <v>529</v>
      </c>
      <c r="C151">
        <v>46828</v>
      </c>
      <c r="D151">
        <v>516</v>
      </c>
      <c r="E151">
        <v>46369</v>
      </c>
      <c r="F151">
        <v>36</v>
      </c>
      <c r="G151">
        <v>25</v>
      </c>
      <c r="H151" t="b">
        <v>0</v>
      </c>
      <c r="I151">
        <f t="shared" si="4"/>
        <v>0</v>
      </c>
      <c r="J151" t="str">
        <f t="shared" si="5"/>
        <v>451-600 (Fair)</v>
      </c>
      <c r="K151" s="1"/>
    </row>
    <row r="152" spans="1:11" x14ac:dyDescent="0.35">
      <c r="A152" t="s">
        <v>1356</v>
      </c>
      <c r="B152" t="s">
        <v>1357</v>
      </c>
      <c r="C152">
        <v>77739</v>
      </c>
      <c r="D152">
        <v>332</v>
      </c>
      <c r="E152">
        <v>46364</v>
      </c>
      <c r="F152">
        <v>36</v>
      </c>
      <c r="G152">
        <v>40</v>
      </c>
      <c r="H152" t="b">
        <v>0</v>
      </c>
      <c r="I152">
        <f t="shared" si="4"/>
        <v>0</v>
      </c>
      <c r="J152" t="str">
        <f t="shared" si="5"/>
        <v>300-450 (Poor)</v>
      </c>
      <c r="K152" s="1"/>
    </row>
    <row r="153" spans="1:11" x14ac:dyDescent="0.35">
      <c r="A153" t="s">
        <v>1892</v>
      </c>
      <c r="B153" t="s">
        <v>1893</v>
      </c>
      <c r="C153">
        <v>100702</v>
      </c>
      <c r="D153">
        <v>558</v>
      </c>
      <c r="E153">
        <v>46340</v>
      </c>
      <c r="F153">
        <v>19</v>
      </c>
      <c r="G153">
        <v>45</v>
      </c>
      <c r="H153" t="b">
        <v>0</v>
      </c>
      <c r="I153">
        <f t="shared" si="4"/>
        <v>0</v>
      </c>
      <c r="J153" t="str">
        <f t="shared" si="5"/>
        <v>451-600 (Fair)</v>
      </c>
      <c r="K153" s="1"/>
    </row>
    <row r="154" spans="1:11" x14ac:dyDescent="0.35">
      <c r="A154" t="s">
        <v>1168</v>
      </c>
      <c r="B154" t="s">
        <v>1169</v>
      </c>
      <c r="C154">
        <v>61029</v>
      </c>
      <c r="D154">
        <v>631</v>
      </c>
      <c r="E154">
        <v>46332</v>
      </c>
      <c r="F154">
        <v>10</v>
      </c>
      <c r="G154">
        <v>50</v>
      </c>
      <c r="H154" t="b">
        <v>0</v>
      </c>
      <c r="I154">
        <f t="shared" si="4"/>
        <v>0</v>
      </c>
      <c r="J154" t="str">
        <f t="shared" si="5"/>
        <v>601-750 (Good)</v>
      </c>
      <c r="K154" s="1"/>
    </row>
    <row r="155" spans="1:11" x14ac:dyDescent="0.35">
      <c r="A155" t="s">
        <v>249</v>
      </c>
      <c r="B155" t="s">
        <v>250</v>
      </c>
      <c r="C155">
        <v>120198</v>
      </c>
      <c r="D155">
        <v>333</v>
      </c>
      <c r="E155">
        <v>46238</v>
      </c>
      <c r="F155">
        <v>23</v>
      </c>
      <c r="G155">
        <v>50</v>
      </c>
      <c r="H155" t="b">
        <v>0</v>
      </c>
      <c r="I155">
        <f t="shared" si="4"/>
        <v>0</v>
      </c>
      <c r="J155" t="str">
        <f t="shared" si="5"/>
        <v>300-450 (Poor)</v>
      </c>
      <c r="K155" s="1"/>
    </row>
    <row r="156" spans="1:11" x14ac:dyDescent="0.35">
      <c r="A156" t="s">
        <v>460</v>
      </c>
      <c r="B156" t="s">
        <v>461</v>
      </c>
      <c r="C156">
        <v>56071</v>
      </c>
      <c r="D156">
        <v>618</v>
      </c>
      <c r="E156">
        <v>46238</v>
      </c>
      <c r="F156">
        <v>7</v>
      </c>
      <c r="G156">
        <v>45</v>
      </c>
      <c r="H156" t="b">
        <v>0</v>
      </c>
      <c r="I156">
        <f t="shared" si="4"/>
        <v>0</v>
      </c>
      <c r="J156" t="str">
        <f t="shared" si="5"/>
        <v>601-750 (Good)</v>
      </c>
      <c r="K156" s="1"/>
    </row>
    <row r="157" spans="1:11" x14ac:dyDescent="0.35">
      <c r="A157" t="s">
        <v>2427</v>
      </c>
      <c r="B157" t="s">
        <v>2428</v>
      </c>
      <c r="C157">
        <v>107139</v>
      </c>
      <c r="D157">
        <v>324</v>
      </c>
      <c r="E157">
        <v>46222</v>
      </c>
      <c r="F157">
        <v>10</v>
      </c>
      <c r="G157">
        <v>45</v>
      </c>
      <c r="H157" t="b">
        <v>0</v>
      </c>
      <c r="I157">
        <f t="shared" si="4"/>
        <v>0</v>
      </c>
      <c r="J157" t="str">
        <f t="shared" si="5"/>
        <v>300-450 (Poor)</v>
      </c>
      <c r="K157" s="1"/>
    </row>
    <row r="158" spans="1:11" x14ac:dyDescent="0.35">
      <c r="A158" t="s">
        <v>1164</v>
      </c>
      <c r="B158" t="s">
        <v>1165</v>
      </c>
      <c r="C158">
        <v>128235</v>
      </c>
      <c r="D158">
        <v>355</v>
      </c>
      <c r="E158">
        <v>46216</v>
      </c>
      <c r="F158">
        <v>33</v>
      </c>
      <c r="G158">
        <v>50</v>
      </c>
      <c r="H158" t="b">
        <v>0</v>
      </c>
      <c r="I158">
        <f t="shared" si="4"/>
        <v>0</v>
      </c>
      <c r="J158" t="str">
        <f t="shared" si="5"/>
        <v>300-450 (Poor)</v>
      </c>
      <c r="K158" s="1"/>
    </row>
    <row r="159" spans="1:11" x14ac:dyDescent="0.35">
      <c r="A159" t="s">
        <v>3829</v>
      </c>
      <c r="B159" t="s">
        <v>3830</v>
      </c>
      <c r="C159">
        <v>121983</v>
      </c>
      <c r="D159">
        <v>670</v>
      </c>
      <c r="E159">
        <v>46117</v>
      </c>
      <c r="F159">
        <v>4</v>
      </c>
      <c r="G159">
        <v>65</v>
      </c>
      <c r="H159" t="b">
        <v>1</v>
      </c>
      <c r="I159">
        <f t="shared" si="4"/>
        <v>1</v>
      </c>
      <c r="J159" t="str">
        <f t="shared" si="5"/>
        <v>601-750 (Good)</v>
      </c>
      <c r="K159" s="1"/>
    </row>
    <row r="160" spans="1:11" x14ac:dyDescent="0.35">
      <c r="A160" t="s">
        <v>3150</v>
      </c>
      <c r="B160" t="s">
        <v>3151</v>
      </c>
      <c r="C160">
        <v>106435</v>
      </c>
      <c r="D160">
        <v>442</v>
      </c>
      <c r="E160">
        <v>46110</v>
      </c>
      <c r="F160">
        <v>18</v>
      </c>
      <c r="G160">
        <v>45</v>
      </c>
      <c r="H160" t="b">
        <v>0</v>
      </c>
      <c r="I160">
        <f t="shared" si="4"/>
        <v>0</v>
      </c>
      <c r="J160" t="str">
        <f t="shared" si="5"/>
        <v>300-450 (Poor)</v>
      </c>
      <c r="K160" s="1"/>
    </row>
    <row r="161" spans="1:11" x14ac:dyDescent="0.35">
      <c r="A161" t="s">
        <v>1971</v>
      </c>
      <c r="B161" t="s">
        <v>1972</v>
      </c>
      <c r="C161">
        <v>33365</v>
      </c>
      <c r="D161">
        <v>514</v>
      </c>
      <c r="E161">
        <v>46084</v>
      </c>
      <c r="F161">
        <v>6</v>
      </c>
      <c r="G161">
        <v>20</v>
      </c>
      <c r="H161" t="b">
        <v>0</v>
      </c>
      <c r="I161">
        <f t="shared" si="4"/>
        <v>0</v>
      </c>
      <c r="J161" t="str">
        <f t="shared" si="5"/>
        <v>451-600 (Fair)</v>
      </c>
      <c r="K161" s="1"/>
    </row>
    <row r="162" spans="1:11" x14ac:dyDescent="0.35">
      <c r="A162" t="s">
        <v>1156</v>
      </c>
      <c r="B162" t="s">
        <v>1157</v>
      </c>
      <c r="C162">
        <v>145885</v>
      </c>
      <c r="D162">
        <v>801</v>
      </c>
      <c r="E162">
        <v>46079</v>
      </c>
      <c r="F162">
        <v>20</v>
      </c>
      <c r="G162">
        <v>90</v>
      </c>
      <c r="H162" t="b">
        <v>1</v>
      </c>
      <c r="I162">
        <f t="shared" si="4"/>
        <v>1</v>
      </c>
      <c r="J162" t="str">
        <f t="shared" si="5"/>
        <v>751-850 (Excellent)</v>
      </c>
      <c r="K162" s="1"/>
    </row>
    <row r="163" spans="1:11" x14ac:dyDescent="0.35">
      <c r="A163" t="s">
        <v>3778</v>
      </c>
      <c r="B163" t="s">
        <v>3779</v>
      </c>
      <c r="C163">
        <v>123375</v>
      </c>
      <c r="D163">
        <v>359</v>
      </c>
      <c r="E163">
        <v>46052</v>
      </c>
      <c r="F163">
        <v>30</v>
      </c>
      <c r="G163">
        <v>50</v>
      </c>
      <c r="H163" t="b">
        <v>0</v>
      </c>
      <c r="I163">
        <f t="shared" si="4"/>
        <v>0</v>
      </c>
      <c r="J163" t="str">
        <f t="shared" si="5"/>
        <v>300-450 (Poor)</v>
      </c>
      <c r="K163" s="1"/>
    </row>
    <row r="164" spans="1:11" x14ac:dyDescent="0.35">
      <c r="A164" t="s">
        <v>1559</v>
      </c>
      <c r="B164" t="s">
        <v>1560</v>
      </c>
      <c r="C164">
        <v>142779</v>
      </c>
      <c r="D164">
        <v>707</v>
      </c>
      <c r="E164">
        <v>46013</v>
      </c>
      <c r="F164">
        <v>13</v>
      </c>
      <c r="G164">
        <v>75</v>
      </c>
      <c r="H164" t="b">
        <v>1</v>
      </c>
      <c r="I164">
        <f t="shared" si="4"/>
        <v>1</v>
      </c>
      <c r="J164" t="str">
        <f t="shared" si="5"/>
        <v>601-750 (Good)</v>
      </c>
      <c r="K164" s="1"/>
    </row>
    <row r="165" spans="1:11" x14ac:dyDescent="0.35">
      <c r="A165" t="s">
        <v>3383</v>
      </c>
      <c r="B165" t="s">
        <v>3384</v>
      </c>
      <c r="C165">
        <v>144084</v>
      </c>
      <c r="D165">
        <v>606</v>
      </c>
      <c r="E165">
        <v>46007</v>
      </c>
      <c r="F165">
        <v>27</v>
      </c>
      <c r="G165">
        <v>65</v>
      </c>
      <c r="H165" t="b">
        <v>1</v>
      </c>
      <c r="I165">
        <f t="shared" si="4"/>
        <v>1</v>
      </c>
      <c r="J165" t="str">
        <f t="shared" si="5"/>
        <v>601-750 (Good)</v>
      </c>
      <c r="K165" s="1"/>
    </row>
    <row r="166" spans="1:11" x14ac:dyDescent="0.35">
      <c r="A166" t="s">
        <v>869</v>
      </c>
      <c r="B166" t="s">
        <v>870</v>
      </c>
      <c r="C166">
        <v>142960</v>
      </c>
      <c r="D166">
        <v>597</v>
      </c>
      <c r="E166">
        <v>45997</v>
      </c>
      <c r="F166">
        <v>22</v>
      </c>
      <c r="G166">
        <v>65</v>
      </c>
      <c r="H166" t="b">
        <v>1</v>
      </c>
      <c r="I166">
        <f t="shared" si="4"/>
        <v>1</v>
      </c>
      <c r="J166" t="str">
        <f t="shared" si="5"/>
        <v>451-600 (Fair)</v>
      </c>
      <c r="K166" s="1"/>
    </row>
    <row r="167" spans="1:11" x14ac:dyDescent="0.35">
      <c r="A167" t="s">
        <v>787</v>
      </c>
      <c r="B167" t="s">
        <v>788</v>
      </c>
      <c r="C167">
        <v>64760</v>
      </c>
      <c r="D167">
        <v>527</v>
      </c>
      <c r="E167">
        <v>45978</v>
      </c>
      <c r="F167">
        <v>34</v>
      </c>
      <c r="G167">
        <v>35</v>
      </c>
      <c r="H167" t="b">
        <v>0</v>
      </c>
      <c r="I167">
        <f t="shared" si="4"/>
        <v>0</v>
      </c>
      <c r="J167" t="str">
        <f t="shared" si="5"/>
        <v>451-600 (Fair)</v>
      </c>
      <c r="K167" s="1"/>
    </row>
    <row r="168" spans="1:11" x14ac:dyDescent="0.35">
      <c r="A168" t="s">
        <v>2923</v>
      </c>
      <c r="B168" t="s">
        <v>2924</v>
      </c>
      <c r="C168">
        <v>104946</v>
      </c>
      <c r="D168">
        <v>589</v>
      </c>
      <c r="E168">
        <v>45932</v>
      </c>
      <c r="F168">
        <v>39</v>
      </c>
      <c r="G168">
        <v>60</v>
      </c>
      <c r="H168" t="b">
        <v>1</v>
      </c>
      <c r="I168">
        <f t="shared" si="4"/>
        <v>1</v>
      </c>
      <c r="J168" t="str">
        <f t="shared" si="5"/>
        <v>451-600 (Fair)</v>
      </c>
      <c r="K168" s="1"/>
    </row>
    <row r="169" spans="1:11" x14ac:dyDescent="0.35">
      <c r="A169" t="s">
        <v>2978</v>
      </c>
      <c r="B169" t="s">
        <v>2979</v>
      </c>
      <c r="C169">
        <v>144581</v>
      </c>
      <c r="D169">
        <v>743</v>
      </c>
      <c r="E169">
        <v>45931</v>
      </c>
      <c r="F169">
        <v>14</v>
      </c>
      <c r="G169">
        <v>85</v>
      </c>
      <c r="H169" t="b">
        <v>1</v>
      </c>
      <c r="I169">
        <f t="shared" si="4"/>
        <v>1</v>
      </c>
      <c r="J169" t="str">
        <f t="shared" si="5"/>
        <v>601-750 (Good)</v>
      </c>
      <c r="K169" s="1"/>
    </row>
    <row r="170" spans="1:11" x14ac:dyDescent="0.35">
      <c r="A170" t="s">
        <v>2285</v>
      </c>
      <c r="B170" t="s">
        <v>2286</v>
      </c>
      <c r="C170">
        <v>98765</v>
      </c>
      <c r="D170">
        <v>810</v>
      </c>
      <c r="E170">
        <v>45926</v>
      </c>
      <c r="F170">
        <v>9</v>
      </c>
      <c r="G170">
        <v>75</v>
      </c>
      <c r="H170" t="b">
        <v>1</v>
      </c>
      <c r="I170">
        <f t="shared" si="4"/>
        <v>1</v>
      </c>
      <c r="J170" t="str">
        <f t="shared" si="5"/>
        <v>751-850 (Excellent)</v>
      </c>
      <c r="K170" s="1"/>
    </row>
    <row r="171" spans="1:11" x14ac:dyDescent="0.35">
      <c r="A171" t="s">
        <v>3819</v>
      </c>
      <c r="B171" t="s">
        <v>1724</v>
      </c>
      <c r="C171">
        <v>89469</v>
      </c>
      <c r="D171">
        <v>688</v>
      </c>
      <c r="E171">
        <v>45897</v>
      </c>
      <c r="F171">
        <v>10</v>
      </c>
      <c r="G171">
        <v>65</v>
      </c>
      <c r="H171" t="b">
        <v>1</v>
      </c>
      <c r="I171">
        <f t="shared" si="4"/>
        <v>1</v>
      </c>
      <c r="J171" t="str">
        <f t="shared" si="5"/>
        <v>601-750 (Good)</v>
      </c>
      <c r="K171" s="1"/>
    </row>
    <row r="172" spans="1:11" x14ac:dyDescent="0.35">
      <c r="A172" t="s">
        <v>1588</v>
      </c>
      <c r="B172" t="s">
        <v>1589</v>
      </c>
      <c r="C172">
        <v>141193</v>
      </c>
      <c r="D172">
        <v>617</v>
      </c>
      <c r="E172">
        <v>45889</v>
      </c>
      <c r="F172">
        <v>38</v>
      </c>
      <c r="G172">
        <v>65</v>
      </c>
      <c r="H172" t="b">
        <v>1</v>
      </c>
      <c r="I172">
        <f t="shared" si="4"/>
        <v>1</v>
      </c>
      <c r="J172" t="str">
        <f t="shared" si="5"/>
        <v>601-750 (Good)</v>
      </c>
      <c r="K172" s="1"/>
    </row>
    <row r="173" spans="1:11" x14ac:dyDescent="0.35">
      <c r="A173" t="s">
        <v>29</v>
      </c>
      <c r="B173" t="s">
        <v>30</v>
      </c>
      <c r="C173">
        <v>48289</v>
      </c>
      <c r="D173">
        <v>524</v>
      </c>
      <c r="E173">
        <v>45866</v>
      </c>
      <c r="F173">
        <v>20</v>
      </c>
      <c r="G173">
        <v>25</v>
      </c>
      <c r="H173" t="b">
        <v>0</v>
      </c>
      <c r="I173">
        <f t="shared" si="4"/>
        <v>0</v>
      </c>
      <c r="J173" t="str">
        <f t="shared" si="5"/>
        <v>451-600 (Fair)</v>
      </c>
      <c r="K173" s="1"/>
    </row>
    <row r="174" spans="1:11" x14ac:dyDescent="0.35">
      <c r="A174" t="s">
        <v>2400</v>
      </c>
      <c r="B174" t="s">
        <v>2401</v>
      </c>
      <c r="C174">
        <v>84548</v>
      </c>
      <c r="D174">
        <v>488</v>
      </c>
      <c r="E174">
        <v>45855</v>
      </c>
      <c r="F174">
        <v>32</v>
      </c>
      <c r="G174">
        <v>40</v>
      </c>
      <c r="H174" t="b">
        <v>0</v>
      </c>
      <c r="I174">
        <f t="shared" si="4"/>
        <v>0</v>
      </c>
      <c r="J174" t="str">
        <f t="shared" si="5"/>
        <v>451-600 (Fair)</v>
      </c>
      <c r="K174" s="1"/>
    </row>
    <row r="175" spans="1:11" x14ac:dyDescent="0.35">
      <c r="A175" t="s">
        <v>2730</v>
      </c>
      <c r="B175" t="s">
        <v>2731</v>
      </c>
      <c r="C175">
        <v>54586</v>
      </c>
      <c r="D175">
        <v>374</v>
      </c>
      <c r="E175">
        <v>45823</v>
      </c>
      <c r="F175">
        <v>27</v>
      </c>
      <c r="G175">
        <v>35</v>
      </c>
      <c r="H175" t="b">
        <v>0</v>
      </c>
      <c r="I175">
        <f t="shared" si="4"/>
        <v>0</v>
      </c>
      <c r="J175" t="str">
        <f t="shared" si="5"/>
        <v>300-450 (Poor)</v>
      </c>
      <c r="K175" s="1"/>
    </row>
    <row r="176" spans="1:11" x14ac:dyDescent="0.35">
      <c r="A176" t="s">
        <v>875</v>
      </c>
      <c r="B176" t="s">
        <v>876</v>
      </c>
      <c r="C176">
        <v>45713</v>
      </c>
      <c r="D176">
        <v>593</v>
      </c>
      <c r="E176">
        <v>45786</v>
      </c>
      <c r="F176">
        <v>16</v>
      </c>
      <c r="G176">
        <v>40</v>
      </c>
      <c r="H176" t="b">
        <v>0</v>
      </c>
      <c r="I176">
        <f t="shared" si="4"/>
        <v>0</v>
      </c>
      <c r="J176" t="str">
        <f t="shared" si="5"/>
        <v>451-600 (Fair)</v>
      </c>
      <c r="K176" s="1"/>
    </row>
    <row r="177" spans="1:11" x14ac:dyDescent="0.35">
      <c r="A177" t="s">
        <v>2036</v>
      </c>
      <c r="B177" t="s">
        <v>2037</v>
      </c>
      <c r="C177">
        <v>114874</v>
      </c>
      <c r="D177">
        <v>313</v>
      </c>
      <c r="E177">
        <v>45758</v>
      </c>
      <c r="F177">
        <v>35</v>
      </c>
      <c r="G177">
        <v>50</v>
      </c>
      <c r="H177" t="b">
        <v>0</v>
      </c>
      <c r="I177">
        <f t="shared" si="4"/>
        <v>0</v>
      </c>
      <c r="J177" t="str">
        <f t="shared" si="5"/>
        <v>300-450 (Poor)</v>
      </c>
      <c r="K177" s="1"/>
    </row>
    <row r="178" spans="1:11" x14ac:dyDescent="0.35">
      <c r="A178" t="s">
        <v>1289</v>
      </c>
      <c r="B178" t="s">
        <v>1243</v>
      </c>
      <c r="C178">
        <v>64237</v>
      </c>
      <c r="D178">
        <v>842</v>
      </c>
      <c r="E178">
        <v>45752</v>
      </c>
      <c r="F178">
        <v>2</v>
      </c>
      <c r="G178">
        <v>65</v>
      </c>
      <c r="H178" t="b">
        <v>1</v>
      </c>
      <c r="I178">
        <f t="shared" si="4"/>
        <v>1</v>
      </c>
      <c r="J178" t="str">
        <f t="shared" si="5"/>
        <v>751-850 (Excellent)</v>
      </c>
      <c r="K178" s="1"/>
    </row>
    <row r="179" spans="1:11" x14ac:dyDescent="0.35">
      <c r="A179" t="s">
        <v>618</v>
      </c>
      <c r="B179" t="s">
        <v>455</v>
      </c>
      <c r="C179">
        <v>34117</v>
      </c>
      <c r="D179">
        <v>651</v>
      </c>
      <c r="E179">
        <v>45731</v>
      </c>
      <c r="F179">
        <v>3</v>
      </c>
      <c r="G179">
        <v>30</v>
      </c>
      <c r="H179" t="b">
        <v>0</v>
      </c>
      <c r="I179">
        <f t="shared" si="4"/>
        <v>0</v>
      </c>
      <c r="J179" t="str">
        <f t="shared" si="5"/>
        <v>601-750 (Good)</v>
      </c>
      <c r="K179" s="1"/>
    </row>
    <row r="180" spans="1:11" x14ac:dyDescent="0.35">
      <c r="A180" t="s">
        <v>775</v>
      </c>
      <c r="B180" t="s">
        <v>776</v>
      </c>
      <c r="C180">
        <v>148284</v>
      </c>
      <c r="D180">
        <v>320</v>
      </c>
      <c r="E180">
        <v>45708</v>
      </c>
      <c r="F180">
        <v>0</v>
      </c>
      <c r="G180">
        <v>35</v>
      </c>
      <c r="H180" t="b">
        <v>0</v>
      </c>
      <c r="I180">
        <f t="shared" si="4"/>
        <v>0</v>
      </c>
      <c r="J180" t="str">
        <f t="shared" si="5"/>
        <v>300-450 (Poor)</v>
      </c>
      <c r="K180" s="1"/>
    </row>
    <row r="181" spans="1:11" x14ac:dyDescent="0.35">
      <c r="A181" t="s">
        <v>3551</v>
      </c>
      <c r="B181" t="s">
        <v>3552</v>
      </c>
      <c r="C181">
        <v>83492</v>
      </c>
      <c r="D181">
        <v>847</v>
      </c>
      <c r="E181">
        <v>45686</v>
      </c>
      <c r="F181">
        <v>17</v>
      </c>
      <c r="G181">
        <v>80</v>
      </c>
      <c r="H181" t="b">
        <v>1</v>
      </c>
      <c r="I181">
        <f t="shared" si="4"/>
        <v>1</v>
      </c>
      <c r="J181" t="str">
        <f t="shared" si="5"/>
        <v>751-850 (Excellent)</v>
      </c>
      <c r="K181" s="1"/>
    </row>
    <row r="182" spans="1:11" x14ac:dyDescent="0.35">
      <c r="A182" t="s">
        <v>560</v>
      </c>
      <c r="B182" t="s">
        <v>561</v>
      </c>
      <c r="C182">
        <v>123447</v>
      </c>
      <c r="D182">
        <v>484</v>
      </c>
      <c r="E182">
        <v>45676</v>
      </c>
      <c r="F182">
        <v>35</v>
      </c>
      <c r="G182">
        <v>50</v>
      </c>
      <c r="H182" t="b">
        <v>0</v>
      </c>
      <c r="I182">
        <f t="shared" si="4"/>
        <v>0</v>
      </c>
      <c r="J182" t="str">
        <f t="shared" si="5"/>
        <v>451-600 (Fair)</v>
      </c>
      <c r="K182" s="1"/>
    </row>
    <row r="183" spans="1:11" x14ac:dyDescent="0.35">
      <c r="A183" t="s">
        <v>994</v>
      </c>
      <c r="B183" t="s">
        <v>995</v>
      </c>
      <c r="C183">
        <v>117538</v>
      </c>
      <c r="D183">
        <v>769</v>
      </c>
      <c r="E183">
        <v>45668</v>
      </c>
      <c r="F183">
        <v>29</v>
      </c>
      <c r="G183">
        <v>85</v>
      </c>
      <c r="H183" t="b">
        <v>1</v>
      </c>
      <c r="I183">
        <f t="shared" si="4"/>
        <v>1</v>
      </c>
      <c r="J183" t="str">
        <f t="shared" si="5"/>
        <v>751-850 (Excellent)</v>
      </c>
      <c r="K183" s="1"/>
    </row>
    <row r="184" spans="1:11" x14ac:dyDescent="0.35">
      <c r="A184" t="s">
        <v>3403</v>
      </c>
      <c r="B184" t="s">
        <v>3404</v>
      </c>
      <c r="C184">
        <v>118647</v>
      </c>
      <c r="D184">
        <v>468</v>
      </c>
      <c r="E184">
        <v>45652</v>
      </c>
      <c r="F184">
        <v>17</v>
      </c>
      <c r="G184">
        <v>50</v>
      </c>
      <c r="H184" t="b">
        <v>0</v>
      </c>
      <c r="I184">
        <f t="shared" si="4"/>
        <v>0</v>
      </c>
      <c r="J184" t="str">
        <f t="shared" si="5"/>
        <v>451-600 (Fair)</v>
      </c>
      <c r="K184" s="1"/>
    </row>
    <row r="185" spans="1:11" x14ac:dyDescent="0.35">
      <c r="A185" t="s">
        <v>2905</v>
      </c>
      <c r="B185" t="s">
        <v>2906</v>
      </c>
      <c r="C185">
        <v>102340</v>
      </c>
      <c r="D185">
        <v>562</v>
      </c>
      <c r="E185">
        <v>45623</v>
      </c>
      <c r="F185">
        <v>25</v>
      </c>
      <c r="G185">
        <v>45</v>
      </c>
      <c r="H185" t="b">
        <v>0</v>
      </c>
      <c r="I185">
        <f t="shared" si="4"/>
        <v>0</v>
      </c>
      <c r="J185" t="str">
        <f t="shared" si="5"/>
        <v>451-600 (Fair)</v>
      </c>
      <c r="K185" s="1"/>
    </row>
    <row r="186" spans="1:11" x14ac:dyDescent="0.35">
      <c r="A186" t="s">
        <v>795</v>
      </c>
      <c r="B186" t="s">
        <v>796</v>
      </c>
      <c r="C186">
        <v>67388</v>
      </c>
      <c r="D186">
        <v>422</v>
      </c>
      <c r="E186">
        <v>45610</v>
      </c>
      <c r="F186">
        <v>24</v>
      </c>
      <c r="G186">
        <v>35</v>
      </c>
      <c r="H186" t="b">
        <v>0</v>
      </c>
      <c r="I186">
        <f t="shared" si="4"/>
        <v>0</v>
      </c>
      <c r="J186" t="str">
        <f t="shared" si="5"/>
        <v>300-450 (Poor)</v>
      </c>
      <c r="K186" s="1"/>
    </row>
    <row r="187" spans="1:11" x14ac:dyDescent="0.35">
      <c r="A187" t="s">
        <v>464</v>
      </c>
      <c r="B187" t="s">
        <v>465</v>
      </c>
      <c r="C187">
        <v>79009</v>
      </c>
      <c r="D187">
        <v>553</v>
      </c>
      <c r="E187">
        <v>45586</v>
      </c>
      <c r="F187">
        <v>38</v>
      </c>
      <c r="G187">
        <v>40</v>
      </c>
      <c r="H187" t="b">
        <v>0</v>
      </c>
      <c r="I187">
        <f t="shared" si="4"/>
        <v>0</v>
      </c>
      <c r="J187" t="str">
        <f t="shared" si="5"/>
        <v>451-600 (Fair)</v>
      </c>
      <c r="K187" s="1"/>
    </row>
    <row r="188" spans="1:11" x14ac:dyDescent="0.35">
      <c r="A188" t="s">
        <v>3585</v>
      </c>
      <c r="B188" t="s">
        <v>3586</v>
      </c>
      <c r="C188">
        <v>77012</v>
      </c>
      <c r="D188">
        <v>799</v>
      </c>
      <c r="E188">
        <v>45571</v>
      </c>
      <c r="F188">
        <v>18</v>
      </c>
      <c r="G188">
        <v>75</v>
      </c>
      <c r="H188" t="b">
        <v>1</v>
      </c>
      <c r="I188">
        <f t="shared" si="4"/>
        <v>1</v>
      </c>
      <c r="J188" t="str">
        <f t="shared" si="5"/>
        <v>751-850 (Excellent)</v>
      </c>
      <c r="K188" s="1"/>
    </row>
    <row r="189" spans="1:11" x14ac:dyDescent="0.35">
      <c r="A189" t="s">
        <v>570</v>
      </c>
      <c r="B189" t="s">
        <v>571</v>
      </c>
      <c r="C189">
        <v>78944</v>
      </c>
      <c r="D189">
        <v>774</v>
      </c>
      <c r="E189">
        <v>45535</v>
      </c>
      <c r="F189">
        <v>37</v>
      </c>
      <c r="G189">
        <v>75</v>
      </c>
      <c r="H189" t="b">
        <v>1</v>
      </c>
      <c r="I189">
        <f t="shared" si="4"/>
        <v>1</v>
      </c>
      <c r="J189" t="str">
        <f t="shared" si="5"/>
        <v>751-850 (Excellent)</v>
      </c>
      <c r="K189" s="1"/>
    </row>
    <row r="190" spans="1:11" x14ac:dyDescent="0.35">
      <c r="A190" t="s">
        <v>371</v>
      </c>
      <c r="B190" t="s">
        <v>372</v>
      </c>
      <c r="C190">
        <v>108172</v>
      </c>
      <c r="D190">
        <v>457</v>
      </c>
      <c r="E190">
        <v>45503</v>
      </c>
      <c r="F190">
        <v>28</v>
      </c>
      <c r="G190">
        <v>45</v>
      </c>
      <c r="H190" t="b">
        <v>0</v>
      </c>
      <c r="I190">
        <f t="shared" si="4"/>
        <v>0</v>
      </c>
      <c r="J190" t="str">
        <f t="shared" si="5"/>
        <v>451-600 (Fair)</v>
      </c>
      <c r="K190" s="1"/>
    </row>
    <row r="191" spans="1:11" x14ac:dyDescent="0.35">
      <c r="A191" t="s">
        <v>2295</v>
      </c>
      <c r="B191" t="s">
        <v>2296</v>
      </c>
      <c r="C191">
        <v>55443</v>
      </c>
      <c r="D191">
        <v>746</v>
      </c>
      <c r="E191">
        <v>45493</v>
      </c>
      <c r="F191">
        <v>20</v>
      </c>
      <c r="G191">
        <v>70</v>
      </c>
      <c r="H191" t="b">
        <v>1</v>
      </c>
      <c r="I191">
        <f t="shared" si="4"/>
        <v>1</v>
      </c>
      <c r="J191" t="str">
        <f t="shared" si="5"/>
        <v>601-750 (Good)</v>
      </c>
      <c r="K191" s="1"/>
    </row>
    <row r="192" spans="1:11" x14ac:dyDescent="0.35">
      <c r="A192" t="s">
        <v>962</v>
      </c>
      <c r="B192" t="s">
        <v>963</v>
      </c>
      <c r="C192">
        <v>39016</v>
      </c>
      <c r="D192">
        <v>301</v>
      </c>
      <c r="E192">
        <v>45470</v>
      </c>
      <c r="F192">
        <v>27</v>
      </c>
      <c r="G192">
        <v>25</v>
      </c>
      <c r="H192" t="b">
        <v>0</v>
      </c>
      <c r="I192">
        <f t="shared" si="4"/>
        <v>0</v>
      </c>
      <c r="J192" t="str">
        <f t="shared" si="5"/>
        <v>300-450 (Poor)</v>
      </c>
      <c r="K192" s="1"/>
    </row>
    <row r="193" spans="1:11" x14ac:dyDescent="0.35">
      <c r="A193" t="s">
        <v>2957</v>
      </c>
      <c r="B193" t="s">
        <v>2958</v>
      </c>
      <c r="C193">
        <v>137577</v>
      </c>
      <c r="D193">
        <v>607</v>
      </c>
      <c r="E193">
        <v>45392</v>
      </c>
      <c r="F193">
        <v>25</v>
      </c>
      <c r="G193">
        <v>65</v>
      </c>
      <c r="H193" t="b">
        <v>1</v>
      </c>
      <c r="I193">
        <f t="shared" si="4"/>
        <v>1</v>
      </c>
      <c r="J193" t="str">
        <f t="shared" si="5"/>
        <v>601-750 (Good)</v>
      </c>
      <c r="K193" s="1"/>
    </row>
    <row r="194" spans="1:11" x14ac:dyDescent="0.35">
      <c r="A194" t="s">
        <v>1997</v>
      </c>
      <c r="B194" t="s">
        <v>1998</v>
      </c>
      <c r="C194">
        <v>61830</v>
      </c>
      <c r="D194">
        <v>734</v>
      </c>
      <c r="E194">
        <v>45370</v>
      </c>
      <c r="F194">
        <v>32</v>
      </c>
      <c r="G194">
        <v>60</v>
      </c>
      <c r="H194" t="b">
        <v>1</v>
      </c>
      <c r="I194">
        <f t="shared" si="4"/>
        <v>1</v>
      </c>
      <c r="J194" t="str">
        <f t="shared" si="5"/>
        <v>601-750 (Good)</v>
      </c>
      <c r="K194" s="1"/>
    </row>
    <row r="195" spans="1:11" x14ac:dyDescent="0.35">
      <c r="A195" t="s">
        <v>2943</v>
      </c>
      <c r="B195" t="s">
        <v>2944</v>
      </c>
      <c r="C195">
        <v>122435</v>
      </c>
      <c r="D195">
        <v>336</v>
      </c>
      <c r="E195">
        <v>45314</v>
      </c>
      <c r="F195">
        <v>6</v>
      </c>
      <c r="G195">
        <v>45</v>
      </c>
      <c r="H195" t="b">
        <v>0</v>
      </c>
      <c r="I195">
        <f t="shared" si="4"/>
        <v>0</v>
      </c>
      <c r="J195" t="str">
        <f t="shared" si="5"/>
        <v>300-450 (Poor)</v>
      </c>
      <c r="K195" s="1"/>
    </row>
    <row r="196" spans="1:11" x14ac:dyDescent="0.35">
      <c r="A196" t="s">
        <v>2422</v>
      </c>
      <c r="B196" t="s">
        <v>2423</v>
      </c>
      <c r="C196">
        <v>88028</v>
      </c>
      <c r="D196">
        <v>717</v>
      </c>
      <c r="E196">
        <v>45178</v>
      </c>
      <c r="F196">
        <v>37</v>
      </c>
      <c r="G196">
        <v>65</v>
      </c>
      <c r="H196" t="b">
        <v>1</v>
      </c>
      <c r="I196">
        <f t="shared" ref="I196:I259" si="6">--H196</f>
        <v>1</v>
      </c>
      <c r="J196" t="str">
        <f t="shared" ref="J196:J259" si="7">IF(D196&gt;750, "751-850 (Excellent)", IF(D196&gt;600, "601-750 (Good)", IF(D196&gt;450, "451-600 (Fair)", "300-450 (Poor)")))</f>
        <v>601-750 (Good)</v>
      </c>
      <c r="K196" s="1"/>
    </row>
    <row r="197" spans="1:11" x14ac:dyDescent="0.35">
      <c r="A197" t="s">
        <v>998</v>
      </c>
      <c r="B197" t="s">
        <v>999</v>
      </c>
      <c r="C197">
        <v>102692</v>
      </c>
      <c r="D197">
        <v>708</v>
      </c>
      <c r="E197">
        <v>45151</v>
      </c>
      <c r="F197">
        <v>21</v>
      </c>
      <c r="G197">
        <v>70</v>
      </c>
      <c r="H197" t="b">
        <v>1</v>
      </c>
      <c r="I197">
        <f t="shared" si="6"/>
        <v>1</v>
      </c>
      <c r="J197" t="str">
        <f t="shared" si="7"/>
        <v>601-750 (Good)</v>
      </c>
      <c r="K197" s="1"/>
    </row>
    <row r="198" spans="1:11" x14ac:dyDescent="0.35">
      <c r="A198" t="s">
        <v>480</v>
      </c>
      <c r="B198" t="s">
        <v>481</v>
      </c>
      <c r="C198">
        <v>72487</v>
      </c>
      <c r="D198">
        <v>774</v>
      </c>
      <c r="E198">
        <v>45138</v>
      </c>
      <c r="F198">
        <v>34</v>
      </c>
      <c r="G198">
        <v>70</v>
      </c>
      <c r="H198" t="b">
        <v>1</v>
      </c>
      <c r="I198">
        <f t="shared" si="6"/>
        <v>1</v>
      </c>
      <c r="J198" t="str">
        <f t="shared" si="7"/>
        <v>751-850 (Excellent)</v>
      </c>
      <c r="K198" s="1"/>
    </row>
    <row r="199" spans="1:11" x14ac:dyDescent="0.35">
      <c r="A199" t="s">
        <v>3175</v>
      </c>
      <c r="B199" t="s">
        <v>758</v>
      </c>
      <c r="C199">
        <v>148123</v>
      </c>
      <c r="D199">
        <v>510</v>
      </c>
      <c r="E199">
        <v>45126</v>
      </c>
      <c r="F199">
        <v>31</v>
      </c>
      <c r="G199">
        <v>50</v>
      </c>
      <c r="H199" t="b">
        <v>0</v>
      </c>
      <c r="I199">
        <f t="shared" si="6"/>
        <v>0</v>
      </c>
      <c r="J199" t="str">
        <f t="shared" si="7"/>
        <v>451-600 (Fair)</v>
      </c>
      <c r="K199" s="1"/>
    </row>
    <row r="200" spans="1:11" x14ac:dyDescent="0.35">
      <c r="A200" t="s">
        <v>1025</v>
      </c>
      <c r="B200" t="s">
        <v>1026</v>
      </c>
      <c r="C200">
        <v>66930</v>
      </c>
      <c r="D200">
        <v>632</v>
      </c>
      <c r="E200">
        <v>45118</v>
      </c>
      <c r="F200">
        <v>32</v>
      </c>
      <c r="G200">
        <v>50</v>
      </c>
      <c r="H200" t="b">
        <v>0</v>
      </c>
      <c r="I200">
        <f t="shared" si="6"/>
        <v>0</v>
      </c>
      <c r="J200" t="str">
        <f t="shared" si="7"/>
        <v>601-750 (Good)</v>
      </c>
      <c r="K200" s="1"/>
    </row>
    <row r="201" spans="1:11" x14ac:dyDescent="0.35">
      <c r="A201" t="s">
        <v>1919</v>
      </c>
      <c r="B201" t="s">
        <v>1920</v>
      </c>
      <c r="C201">
        <v>32671</v>
      </c>
      <c r="D201">
        <v>608</v>
      </c>
      <c r="E201">
        <v>45109</v>
      </c>
      <c r="F201">
        <v>35</v>
      </c>
      <c r="G201">
        <v>40</v>
      </c>
      <c r="H201" t="b">
        <v>0</v>
      </c>
      <c r="I201">
        <f t="shared" si="6"/>
        <v>0</v>
      </c>
      <c r="J201" t="str">
        <f t="shared" si="7"/>
        <v>601-750 (Good)</v>
      </c>
      <c r="K201" s="1"/>
    </row>
    <row r="202" spans="1:11" x14ac:dyDescent="0.35">
      <c r="A202" t="s">
        <v>2696</v>
      </c>
      <c r="B202" t="s">
        <v>2697</v>
      </c>
      <c r="C202">
        <v>89614</v>
      </c>
      <c r="D202">
        <v>742</v>
      </c>
      <c r="E202">
        <v>45104</v>
      </c>
      <c r="F202">
        <v>19</v>
      </c>
      <c r="G202">
        <v>75</v>
      </c>
      <c r="H202" t="b">
        <v>1</v>
      </c>
      <c r="I202">
        <f t="shared" si="6"/>
        <v>1</v>
      </c>
      <c r="J202" t="str">
        <f t="shared" si="7"/>
        <v>601-750 (Good)</v>
      </c>
      <c r="K202" s="1"/>
    </row>
    <row r="203" spans="1:11" x14ac:dyDescent="0.35">
      <c r="A203" t="s">
        <v>1183</v>
      </c>
      <c r="B203" t="s">
        <v>1184</v>
      </c>
      <c r="C203">
        <v>33248</v>
      </c>
      <c r="D203">
        <v>465</v>
      </c>
      <c r="E203">
        <v>45046</v>
      </c>
      <c r="F203">
        <v>18</v>
      </c>
      <c r="G203">
        <v>25</v>
      </c>
      <c r="H203" t="b">
        <v>0</v>
      </c>
      <c r="I203">
        <f t="shared" si="6"/>
        <v>0</v>
      </c>
      <c r="J203" t="str">
        <f t="shared" si="7"/>
        <v>451-600 (Fair)</v>
      </c>
      <c r="K203" s="1"/>
    </row>
    <row r="204" spans="1:11" x14ac:dyDescent="0.35">
      <c r="A204" t="s">
        <v>2955</v>
      </c>
      <c r="B204" t="s">
        <v>2956</v>
      </c>
      <c r="C204">
        <v>133860</v>
      </c>
      <c r="D204">
        <v>803</v>
      </c>
      <c r="E204">
        <v>45024</v>
      </c>
      <c r="F204">
        <v>36</v>
      </c>
      <c r="G204">
        <v>90</v>
      </c>
      <c r="H204" t="b">
        <v>1</v>
      </c>
      <c r="I204">
        <f t="shared" si="6"/>
        <v>1</v>
      </c>
      <c r="J204" t="str">
        <f t="shared" si="7"/>
        <v>751-850 (Excellent)</v>
      </c>
      <c r="K204" s="1"/>
    </row>
    <row r="205" spans="1:11" x14ac:dyDescent="0.35">
      <c r="A205" t="s">
        <v>75</v>
      </c>
      <c r="B205" t="s">
        <v>76</v>
      </c>
      <c r="C205">
        <v>121924</v>
      </c>
      <c r="D205">
        <v>434</v>
      </c>
      <c r="E205">
        <v>45019</v>
      </c>
      <c r="F205">
        <v>19</v>
      </c>
      <c r="G205">
        <v>50</v>
      </c>
      <c r="H205" t="b">
        <v>0</v>
      </c>
      <c r="I205">
        <f t="shared" si="6"/>
        <v>0</v>
      </c>
      <c r="J205" t="str">
        <f t="shared" si="7"/>
        <v>300-450 (Poor)</v>
      </c>
      <c r="K205" s="1"/>
    </row>
    <row r="206" spans="1:11" x14ac:dyDescent="0.35">
      <c r="A206" t="s">
        <v>3516</v>
      </c>
      <c r="B206" t="s">
        <v>3517</v>
      </c>
      <c r="C206">
        <v>89459</v>
      </c>
      <c r="D206">
        <v>721</v>
      </c>
      <c r="E206">
        <v>45000</v>
      </c>
      <c r="F206">
        <v>8</v>
      </c>
      <c r="G206">
        <v>60</v>
      </c>
      <c r="H206" t="b">
        <v>1</v>
      </c>
      <c r="I206">
        <f t="shared" si="6"/>
        <v>1</v>
      </c>
      <c r="J206" t="str">
        <f t="shared" si="7"/>
        <v>601-750 (Good)</v>
      </c>
      <c r="K206" s="1"/>
    </row>
    <row r="207" spans="1:11" x14ac:dyDescent="0.35">
      <c r="A207" t="s">
        <v>3071</v>
      </c>
      <c r="B207" t="s">
        <v>3072</v>
      </c>
      <c r="C207">
        <v>86881</v>
      </c>
      <c r="D207">
        <v>324</v>
      </c>
      <c r="E207">
        <v>44990</v>
      </c>
      <c r="F207">
        <v>17</v>
      </c>
      <c r="G207">
        <v>40</v>
      </c>
      <c r="H207" t="b">
        <v>0</v>
      </c>
      <c r="I207">
        <f t="shared" si="6"/>
        <v>0</v>
      </c>
      <c r="J207" t="str">
        <f t="shared" si="7"/>
        <v>300-450 (Poor)</v>
      </c>
      <c r="K207" s="1"/>
    </row>
    <row r="208" spans="1:11" x14ac:dyDescent="0.35">
      <c r="A208" t="s">
        <v>3338</v>
      </c>
      <c r="B208" t="s">
        <v>3339</v>
      </c>
      <c r="C208">
        <v>68680</v>
      </c>
      <c r="D208">
        <v>422</v>
      </c>
      <c r="E208">
        <v>44976</v>
      </c>
      <c r="F208">
        <v>15</v>
      </c>
      <c r="G208">
        <v>35</v>
      </c>
      <c r="H208" t="b">
        <v>0</v>
      </c>
      <c r="I208">
        <f t="shared" si="6"/>
        <v>0</v>
      </c>
      <c r="J208" t="str">
        <f t="shared" si="7"/>
        <v>300-450 (Poor)</v>
      </c>
      <c r="K208" s="1"/>
    </row>
    <row r="209" spans="1:11" x14ac:dyDescent="0.35">
      <c r="A209" t="s">
        <v>1451</v>
      </c>
      <c r="B209" t="s">
        <v>1452</v>
      </c>
      <c r="C209">
        <v>87905</v>
      </c>
      <c r="D209">
        <v>489</v>
      </c>
      <c r="E209">
        <v>44948</v>
      </c>
      <c r="F209">
        <v>22</v>
      </c>
      <c r="G209">
        <v>40</v>
      </c>
      <c r="H209" t="b">
        <v>0</v>
      </c>
      <c r="I209">
        <f t="shared" si="6"/>
        <v>0</v>
      </c>
      <c r="J209" t="str">
        <f t="shared" si="7"/>
        <v>451-600 (Fair)</v>
      </c>
      <c r="K209" s="1"/>
    </row>
    <row r="210" spans="1:11" x14ac:dyDescent="0.35">
      <c r="A210" t="s">
        <v>839</v>
      </c>
      <c r="B210" t="s">
        <v>840</v>
      </c>
      <c r="C210">
        <v>106569</v>
      </c>
      <c r="D210">
        <v>529</v>
      </c>
      <c r="E210">
        <v>44898</v>
      </c>
      <c r="F210">
        <v>21</v>
      </c>
      <c r="G210">
        <v>45</v>
      </c>
      <c r="H210" t="b">
        <v>0</v>
      </c>
      <c r="I210">
        <f t="shared" si="6"/>
        <v>0</v>
      </c>
      <c r="J210" t="str">
        <f t="shared" si="7"/>
        <v>451-600 (Fair)</v>
      </c>
      <c r="K210" s="1"/>
    </row>
    <row r="211" spans="1:11" x14ac:dyDescent="0.35">
      <c r="A211" t="s">
        <v>3725</v>
      </c>
      <c r="B211" t="s">
        <v>3726</v>
      </c>
      <c r="C211">
        <v>88756</v>
      </c>
      <c r="D211">
        <v>827</v>
      </c>
      <c r="E211">
        <v>44891</v>
      </c>
      <c r="F211">
        <v>37</v>
      </c>
      <c r="G211">
        <v>80</v>
      </c>
      <c r="H211" t="b">
        <v>1</v>
      </c>
      <c r="I211">
        <f t="shared" si="6"/>
        <v>1</v>
      </c>
      <c r="J211" t="str">
        <f t="shared" si="7"/>
        <v>751-850 (Excellent)</v>
      </c>
      <c r="K211" s="1"/>
    </row>
    <row r="212" spans="1:11" x14ac:dyDescent="0.35">
      <c r="A212" t="s">
        <v>2151</v>
      </c>
      <c r="B212" t="s">
        <v>2152</v>
      </c>
      <c r="C212">
        <v>66655</v>
      </c>
      <c r="D212">
        <v>519</v>
      </c>
      <c r="E212">
        <v>44885</v>
      </c>
      <c r="F212">
        <v>16</v>
      </c>
      <c r="G212">
        <v>35</v>
      </c>
      <c r="H212" t="b">
        <v>0</v>
      </c>
      <c r="I212">
        <f t="shared" si="6"/>
        <v>0</v>
      </c>
      <c r="J212" t="str">
        <f t="shared" si="7"/>
        <v>451-600 (Fair)</v>
      </c>
      <c r="K212" s="1"/>
    </row>
    <row r="213" spans="1:11" x14ac:dyDescent="0.35">
      <c r="A213" t="s">
        <v>2172</v>
      </c>
      <c r="B213" t="s">
        <v>2173</v>
      </c>
      <c r="C213">
        <v>61635</v>
      </c>
      <c r="D213">
        <v>333</v>
      </c>
      <c r="E213">
        <v>44759</v>
      </c>
      <c r="F213">
        <v>18</v>
      </c>
      <c r="G213">
        <v>35</v>
      </c>
      <c r="H213" t="b">
        <v>0</v>
      </c>
      <c r="I213">
        <f t="shared" si="6"/>
        <v>0</v>
      </c>
      <c r="J213" t="str">
        <f t="shared" si="7"/>
        <v>300-450 (Poor)</v>
      </c>
      <c r="K213" s="1"/>
    </row>
    <row r="214" spans="1:11" x14ac:dyDescent="0.35">
      <c r="A214" t="s">
        <v>3651</v>
      </c>
      <c r="B214" t="s">
        <v>3652</v>
      </c>
      <c r="C214">
        <v>73064</v>
      </c>
      <c r="D214">
        <v>681</v>
      </c>
      <c r="E214">
        <v>44735</v>
      </c>
      <c r="F214">
        <v>32</v>
      </c>
      <c r="G214">
        <v>60</v>
      </c>
      <c r="H214" t="b">
        <v>1</v>
      </c>
      <c r="I214">
        <f t="shared" si="6"/>
        <v>1</v>
      </c>
      <c r="J214" t="str">
        <f t="shared" si="7"/>
        <v>601-750 (Good)</v>
      </c>
      <c r="K214" s="1"/>
    </row>
    <row r="215" spans="1:11" x14ac:dyDescent="0.35">
      <c r="A215" t="s">
        <v>1627</v>
      </c>
      <c r="B215" t="s">
        <v>1628</v>
      </c>
      <c r="C215">
        <v>138864</v>
      </c>
      <c r="D215">
        <v>388</v>
      </c>
      <c r="E215">
        <v>44716</v>
      </c>
      <c r="F215">
        <v>30</v>
      </c>
      <c r="G215">
        <v>50</v>
      </c>
      <c r="H215" t="b">
        <v>0</v>
      </c>
      <c r="I215">
        <f t="shared" si="6"/>
        <v>0</v>
      </c>
      <c r="J215" t="str">
        <f t="shared" si="7"/>
        <v>300-450 (Poor)</v>
      </c>
      <c r="K215" s="1"/>
    </row>
    <row r="216" spans="1:11" x14ac:dyDescent="0.35">
      <c r="A216" t="s">
        <v>1853</v>
      </c>
      <c r="B216" t="s">
        <v>1854</v>
      </c>
      <c r="C216">
        <v>64099</v>
      </c>
      <c r="D216">
        <v>625</v>
      </c>
      <c r="E216">
        <v>44671</v>
      </c>
      <c r="F216">
        <v>30</v>
      </c>
      <c r="G216">
        <v>50</v>
      </c>
      <c r="H216" t="b">
        <v>0</v>
      </c>
      <c r="I216">
        <f t="shared" si="6"/>
        <v>0</v>
      </c>
      <c r="J216" t="str">
        <f t="shared" si="7"/>
        <v>601-750 (Good)</v>
      </c>
      <c r="K216" s="1"/>
    </row>
    <row r="217" spans="1:11" x14ac:dyDescent="0.35">
      <c r="A217" t="s">
        <v>3223</v>
      </c>
      <c r="B217" t="s">
        <v>3224</v>
      </c>
      <c r="C217">
        <v>77049</v>
      </c>
      <c r="D217">
        <v>337</v>
      </c>
      <c r="E217">
        <v>44667</v>
      </c>
      <c r="F217">
        <v>35</v>
      </c>
      <c r="G217">
        <v>40</v>
      </c>
      <c r="H217" t="b">
        <v>0</v>
      </c>
      <c r="I217">
        <f t="shared" si="6"/>
        <v>0</v>
      </c>
      <c r="J217" t="str">
        <f t="shared" si="7"/>
        <v>300-450 (Poor)</v>
      </c>
      <c r="K217" s="1"/>
    </row>
    <row r="218" spans="1:11" x14ac:dyDescent="0.35">
      <c r="A218" t="s">
        <v>3346</v>
      </c>
      <c r="B218" t="s">
        <v>3347</v>
      </c>
      <c r="C218">
        <v>53021</v>
      </c>
      <c r="D218">
        <v>492</v>
      </c>
      <c r="E218">
        <v>44637</v>
      </c>
      <c r="F218">
        <v>15</v>
      </c>
      <c r="G218">
        <v>35</v>
      </c>
      <c r="H218" t="b">
        <v>0</v>
      </c>
      <c r="I218">
        <f t="shared" si="6"/>
        <v>0</v>
      </c>
      <c r="J218" t="str">
        <f t="shared" si="7"/>
        <v>451-600 (Fair)</v>
      </c>
      <c r="K218" s="1"/>
    </row>
    <row r="219" spans="1:11" x14ac:dyDescent="0.35">
      <c r="A219" t="s">
        <v>3002</v>
      </c>
      <c r="B219" t="s">
        <v>3003</v>
      </c>
      <c r="C219">
        <v>50232</v>
      </c>
      <c r="D219">
        <v>799</v>
      </c>
      <c r="E219">
        <v>44633</v>
      </c>
      <c r="F219">
        <v>3</v>
      </c>
      <c r="G219">
        <v>60</v>
      </c>
      <c r="H219" t="b">
        <v>1</v>
      </c>
      <c r="I219">
        <f t="shared" si="6"/>
        <v>1</v>
      </c>
      <c r="J219" t="str">
        <f t="shared" si="7"/>
        <v>751-850 (Excellent)</v>
      </c>
      <c r="K219" s="1"/>
    </row>
    <row r="220" spans="1:11" x14ac:dyDescent="0.35">
      <c r="A220" t="s">
        <v>2812</v>
      </c>
      <c r="B220" t="s">
        <v>2813</v>
      </c>
      <c r="C220">
        <v>123926</v>
      </c>
      <c r="D220">
        <v>744</v>
      </c>
      <c r="E220">
        <v>44622</v>
      </c>
      <c r="F220">
        <v>17</v>
      </c>
      <c r="G220">
        <v>85</v>
      </c>
      <c r="H220" t="b">
        <v>1</v>
      </c>
      <c r="I220">
        <f t="shared" si="6"/>
        <v>1</v>
      </c>
      <c r="J220" t="str">
        <f t="shared" si="7"/>
        <v>601-750 (Good)</v>
      </c>
      <c r="K220" s="1"/>
    </row>
    <row r="221" spans="1:11" x14ac:dyDescent="0.35">
      <c r="A221" t="s">
        <v>1863</v>
      </c>
      <c r="B221" t="s">
        <v>1864</v>
      </c>
      <c r="C221">
        <v>72840</v>
      </c>
      <c r="D221">
        <v>355</v>
      </c>
      <c r="E221">
        <v>44581</v>
      </c>
      <c r="F221">
        <v>15</v>
      </c>
      <c r="G221">
        <v>35</v>
      </c>
      <c r="H221" t="b">
        <v>0</v>
      </c>
      <c r="I221">
        <f t="shared" si="6"/>
        <v>0</v>
      </c>
      <c r="J221" t="str">
        <f t="shared" si="7"/>
        <v>300-450 (Poor)</v>
      </c>
      <c r="K221" s="1"/>
    </row>
    <row r="222" spans="1:11" x14ac:dyDescent="0.35">
      <c r="A222" t="s">
        <v>2526</v>
      </c>
      <c r="B222" t="s">
        <v>2527</v>
      </c>
      <c r="C222">
        <v>59466</v>
      </c>
      <c r="D222">
        <v>735</v>
      </c>
      <c r="E222">
        <v>44571</v>
      </c>
      <c r="F222">
        <v>30</v>
      </c>
      <c r="G222">
        <v>60</v>
      </c>
      <c r="H222" t="b">
        <v>1</v>
      </c>
      <c r="I222">
        <f t="shared" si="6"/>
        <v>1</v>
      </c>
      <c r="J222" t="str">
        <f t="shared" si="7"/>
        <v>601-750 (Good)</v>
      </c>
      <c r="K222" s="1"/>
    </row>
    <row r="223" spans="1:11" x14ac:dyDescent="0.35">
      <c r="A223" t="s">
        <v>3744</v>
      </c>
      <c r="B223" t="s">
        <v>3745</v>
      </c>
      <c r="C223">
        <v>35683</v>
      </c>
      <c r="D223">
        <v>788</v>
      </c>
      <c r="E223">
        <v>44554</v>
      </c>
      <c r="F223">
        <v>40</v>
      </c>
      <c r="G223">
        <v>60</v>
      </c>
      <c r="H223" t="b">
        <v>1</v>
      </c>
      <c r="I223">
        <f t="shared" si="6"/>
        <v>1</v>
      </c>
      <c r="J223" t="str">
        <f t="shared" si="7"/>
        <v>751-850 (Excellent)</v>
      </c>
      <c r="K223" s="1"/>
    </row>
    <row r="224" spans="1:11" x14ac:dyDescent="0.35">
      <c r="A224" t="s">
        <v>2951</v>
      </c>
      <c r="B224" t="s">
        <v>2952</v>
      </c>
      <c r="C224">
        <v>80604</v>
      </c>
      <c r="D224">
        <v>416</v>
      </c>
      <c r="E224">
        <v>44507</v>
      </c>
      <c r="F224">
        <v>9</v>
      </c>
      <c r="G224">
        <v>35</v>
      </c>
      <c r="H224" t="b">
        <v>0</v>
      </c>
      <c r="I224">
        <f t="shared" si="6"/>
        <v>0</v>
      </c>
      <c r="J224" t="str">
        <f t="shared" si="7"/>
        <v>300-450 (Poor)</v>
      </c>
      <c r="K224" s="1"/>
    </row>
    <row r="225" spans="1:11" x14ac:dyDescent="0.35">
      <c r="A225" t="s">
        <v>1503</v>
      </c>
      <c r="B225" t="s">
        <v>1504</v>
      </c>
      <c r="C225">
        <v>135717</v>
      </c>
      <c r="D225">
        <v>743</v>
      </c>
      <c r="E225">
        <v>44480</v>
      </c>
      <c r="F225">
        <v>34</v>
      </c>
      <c r="G225">
        <v>85</v>
      </c>
      <c r="H225" t="b">
        <v>1</v>
      </c>
      <c r="I225">
        <f t="shared" si="6"/>
        <v>1</v>
      </c>
      <c r="J225" t="str">
        <f t="shared" si="7"/>
        <v>601-750 (Good)</v>
      </c>
      <c r="K225" s="1"/>
    </row>
    <row r="226" spans="1:11" x14ac:dyDescent="0.35">
      <c r="A226" t="s">
        <v>2273</v>
      </c>
      <c r="B226" t="s">
        <v>2274</v>
      </c>
      <c r="C226">
        <v>126810</v>
      </c>
      <c r="D226">
        <v>563</v>
      </c>
      <c r="E226">
        <v>44477</v>
      </c>
      <c r="F226">
        <v>31</v>
      </c>
      <c r="G226">
        <v>50</v>
      </c>
      <c r="H226" t="b">
        <v>0</v>
      </c>
      <c r="I226">
        <f t="shared" si="6"/>
        <v>0</v>
      </c>
      <c r="J226" t="str">
        <f t="shared" si="7"/>
        <v>451-600 (Fair)</v>
      </c>
      <c r="K226" s="1"/>
    </row>
    <row r="227" spans="1:11" x14ac:dyDescent="0.35">
      <c r="A227" t="s">
        <v>2576</v>
      </c>
      <c r="B227" t="s">
        <v>2577</v>
      </c>
      <c r="C227">
        <v>100776</v>
      </c>
      <c r="D227">
        <v>433</v>
      </c>
      <c r="E227">
        <v>44477</v>
      </c>
      <c r="F227">
        <v>21</v>
      </c>
      <c r="G227">
        <v>45</v>
      </c>
      <c r="H227" t="b">
        <v>0</v>
      </c>
      <c r="I227">
        <f t="shared" si="6"/>
        <v>0</v>
      </c>
      <c r="J227" t="str">
        <f t="shared" si="7"/>
        <v>300-450 (Poor)</v>
      </c>
      <c r="K227" s="1"/>
    </row>
    <row r="228" spans="1:11" x14ac:dyDescent="0.35">
      <c r="A228" t="s">
        <v>1244</v>
      </c>
      <c r="B228" t="s">
        <v>1245</v>
      </c>
      <c r="C228">
        <v>59831</v>
      </c>
      <c r="D228">
        <v>477</v>
      </c>
      <c r="E228">
        <v>44424</v>
      </c>
      <c r="F228">
        <v>4</v>
      </c>
      <c r="G228">
        <v>25</v>
      </c>
      <c r="H228" t="b">
        <v>0</v>
      </c>
      <c r="I228">
        <f t="shared" si="6"/>
        <v>0</v>
      </c>
      <c r="J228" t="str">
        <f t="shared" si="7"/>
        <v>451-600 (Fair)</v>
      </c>
      <c r="K228" s="1"/>
    </row>
    <row r="229" spans="1:11" x14ac:dyDescent="0.35">
      <c r="A229" t="s">
        <v>428</v>
      </c>
      <c r="B229" t="s">
        <v>429</v>
      </c>
      <c r="C229">
        <v>144799</v>
      </c>
      <c r="D229">
        <v>632</v>
      </c>
      <c r="E229">
        <v>44399</v>
      </c>
      <c r="F229">
        <v>30</v>
      </c>
      <c r="G229">
        <v>65</v>
      </c>
      <c r="H229" t="b">
        <v>1</v>
      </c>
      <c r="I229">
        <f t="shared" si="6"/>
        <v>1</v>
      </c>
      <c r="J229" t="str">
        <f t="shared" si="7"/>
        <v>601-750 (Good)</v>
      </c>
      <c r="K229" s="1"/>
    </row>
    <row r="230" spans="1:11" x14ac:dyDescent="0.35">
      <c r="A230" t="s">
        <v>1477</v>
      </c>
      <c r="B230" t="s">
        <v>1478</v>
      </c>
      <c r="C230">
        <v>67196</v>
      </c>
      <c r="D230">
        <v>600</v>
      </c>
      <c r="E230">
        <v>44390</v>
      </c>
      <c r="F230">
        <v>31</v>
      </c>
      <c r="G230">
        <v>50</v>
      </c>
      <c r="H230" t="b">
        <v>0</v>
      </c>
      <c r="I230">
        <f t="shared" si="6"/>
        <v>0</v>
      </c>
      <c r="J230" t="str">
        <f t="shared" si="7"/>
        <v>451-600 (Fair)</v>
      </c>
      <c r="K230" s="1"/>
    </row>
    <row r="231" spans="1:11" x14ac:dyDescent="0.35">
      <c r="A231" t="s">
        <v>3415</v>
      </c>
      <c r="B231" t="s">
        <v>3416</v>
      </c>
      <c r="C231">
        <v>103048</v>
      </c>
      <c r="D231">
        <v>302</v>
      </c>
      <c r="E231">
        <v>44387</v>
      </c>
      <c r="F231">
        <v>16</v>
      </c>
      <c r="G231">
        <v>45</v>
      </c>
      <c r="H231" t="b">
        <v>0</v>
      </c>
      <c r="I231">
        <f t="shared" si="6"/>
        <v>0</v>
      </c>
      <c r="J231" t="str">
        <f t="shared" si="7"/>
        <v>300-450 (Poor)</v>
      </c>
      <c r="K231" s="1"/>
    </row>
    <row r="232" spans="1:11" x14ac:dyDescent="0.35">
      <c r="A232" t="s">
        <v>735</v>
      </c>
      <c r="B232" t="s">
        <v>736</v>
      </c>
      <c r="C232">
        <v>142898</v>
      </c>
      <c r="D232">
        <v>601</v>
      </c>
      <c r="E232">
        <v>44386</v>
      </c>
      <c r="F232">
        <v>40</v>
      </c>
      <c r="G232">
        <v>65</v>
      </c>
      <c r="H232" t="b">
        <v>1</v>
      </c>
      <c r="I232">
        <f t="shared" si="6"/>
        <v>1</v>
      </c>
      <c r="J232" t="str">
        <f t="shared" si="7"/>
        <v>601-750 (Good)</v>
      </c>
      <c r="K232" s="1"/>
    </row>
    <row r="233" spans="1:11" x14ac:dyDescent="0.35">
      <c r="A233" t="s">
        <v>2251</v>
      </c>
      <c r="B233" t="s">
        <v>2252</v>
      </c>
      <c r="C233">
        <v>124540</v>
      </c>
      <c r="D233">
        <v>787</v>
      </c>
      <c r="E233">
        <v>44377</v>
      </c>
      <c r="F233">
        <v>33</v>
      </c>
      <c r="G233">
        <v>85</v>
      </c>
      <c r="H233" t="b">
        <v>1</v>
      </c>
      <c r="I233">
        <f t="shared" si="6"/>
        <v>1</v>
      </c>
      <c r="J233" t="str">
        <f t="shared" si="7"/>
        <v>751-850 (Excellent)</v>
      </c>
      <c r="K233" s="1"/>
    </row>
    <row r="234" spans="1:11" x14ac:dyDescent="0.35">
      <c r="A234" t="s">
        <v>3419</v>
      </c>
      <c r="B234" t="s">
        <v>3420</v>
      </c>
      <c r="C234">
        <v>41836</v>
      </c>
      <c r="D234">
        <v>678</v>
      </c>
      <c r="E234">
        <v>44340</v>
      </c>
      <c r="F234">
        <v>3</v>
      </c>
      <c r="G234">
        <v>40</v>
      </c>
      <c r="H234" t="b">
        <v>0</v>
      </c>
      <c r="I234">
        <f t="shared" si="6"/>
        <v>0</v>
      </c>
      <c r="J234" t="str">
        <f t="shared" si="7"/>
        <v>601-750 (Good)</v>
      </c>
      <c r="K234" s="1"/>
    </row>
    <row r="235" spans="1:11" x14ac:dyDescent="0.35">
      <c r="A235" t="s">
        <v>3389</v>
      </c>
      <c r="B235" t="s">
        <v>3390</v>
      </c>
      <c r="C235">
        <v>45095</v>
      </c>
      <c r="D235">
        <v>845</v>
      </c>
      <c r="E235">
        <v>44287</v>
      </c>
      <c r="F235">
        <v>36</v>
      </c>
      <c r="G235">
        <v>65</v>
      </c>
      <c r="H235" t="b">
        <v>1</v>
      </c>
      <c r="I235">
        <f t="shared" si="6"/>
        <v>1</v>
      </c>
      <c r="J235" t="str">
        <f t="shared" si="7"/>
        <v>751-850 (Excellent)</v>
      </c>
      <c r="K235" s="1"/>
    </row>
    <row r="236" spans="1:11" x14ac:dyDescent="0.35">
      <c r="A236" t="s">
        <v>2383</v>
      </c>
      <c r="B236" t="s">
        <v>2384</v>
      </c>
      <c r="C236">
        <v>49555</v>
      </c>
      <c r="D236">
        <v>353</v>
      </c>
      <c r="E236">
        <v>44280</v>
      </c>
      <c r="F236">
        <v>19</v>
      </c>
      <c r="G236">
        <v>25</v>
      </c>
      <c r="H236" t="b">
        <v>0</v>
      </c>
      <c r="I236">
        <f t="shared" si="6"/>
        <v>0</v>
      </c>
      <c r="J236" t="str">
        <f t="shared" si="7"/>
        <v>300-450 (Poor)</v>
      </c>
      <c r="K236" s="1"/>
    </row>
    <row r="237" spans="1:11" x14ac:dyDescent="0.35">
      <c r="A237" t="s">
        <v>3344</v>
      </c>
      <c r="B237" t="s">
        <v>3345</v>
      </c>
      <c r="C237">
        <v>84460</v>
      </c>
      <c r="D237">
        <v>687</v>
      </c>
      <c r="E237">
        <v>44222</v>
      </c>
      <c r="F237">
        <v>33</v>
      </c>
      <c r="G237">
        <v>65</v>
      </c>
      <c r="H237" t="b">
        <v>1</v>
      </c>
      <c r="I237">
        <f t="shared" si="6"/>
        <v>1</v>
      </c>
      <c r="J237" t="str">
        <f t="shared" si="7"/>
        <v>601-750 (Good)</v>
      </c>
      <c r="K237" s="1"/>
    </row>
    <row r="238" spans="1:11" x14ac:dyDescent="0.35">
      <c r="A238" t="s">
        <v>2328</v>
      </c>
      <c r="B238" t="s">
        <v>2329</v>
      </c>
      <c r="C238">
        <v>113606</v>
      </c>
      <c r="D238">
        <v>585</v>
      </c>
      <c r="E238">
        <v>44151</v>
      </c>
      <c r="F238">
        <v>19</v>
      </c>
      <c r="G238">
        <v>65</v>
      </c>
      <c r="H238" t="b">
        <v>1</v>
      </c>
      <c r="I238">
        <f t="shared" si="6"/>
        <v>1</v>
      </c>
      <c r="J238" t="str">
        <f t="shared" si="7"/>
        <v>451-600 (Fair)</v>
      </c>
      <c r="K238" s="1"/>
    </row>
    <row r="239" spans="1:11" x14ac:dyDescent="0.35">
      <c r="A239" t="s">
        <v>2567</v>
      </c>
      <c r="B239" t="s">
        <v>2568</v>
      </c>
      <c r="C239">
        <v>69857</v>
      </c>
      <c r="D239">
        <v>686</v>
      </c>
      <c r="E239">
        <v>44142</v>
      </c>
      <c r="F239">
        <v>37</v>
      </c>
      <c r="G239">
        <v>60</v>
      </c>
      <c r="H239" t="b">
        <v>1</v>
      </c>
      <c r="I239">
        <f t="shared" si="6"/>
        <v>1</v>
      </c>
      <c r="J239" t="str">
        <f t="shared" si="7"/>
        <v>601-750 (Good)</v>
      </c>
      <c r="K239" s="1"/>
    </row>
    <row r="240" spans="1:11" x14ac:dyDescent="0.35">
      <c r="A240" t="s">
        <v>229</v>
      </c>
      <c r="B240" t="s">
        <v>230</v>
      </c>
      <c r="C240">
        <v>113227</v>
      </c>
      <c r="D240">
        <v>322</v>
      </c>
      <c r="E240">
        <v>44137</v>
      </c>
      <c r="F240">
        <v>25</v>
      </c>
      <c r="G240">
        <v>50</v>
      </c>
      <c r="H240" t="b">
        <v>0</v>
      </c>
      <c r="I240">
        <f t="shared" si="6"/>
        <v>0</v>
      </c>
      <c r="J240" t="str">
        <f t="shared" si="7"/>
        <v>300-450 (Poor)</v>
      </c>
      <c r="K240" s="1"/>
    </row>
    <row r="241" spans="1:11" x14ac:dyDescent="0.35">
      <c r="A241" t="s">
        <v>2916</v>
      </c>
      <c r="B241" t="s">
        <v>2917</v>
      </c>
      <c r="C241">
        <v>143980</v>
      </c>
      <c r="D241">
        <v>643</v>
      </c>
      <c r="E241">
        <v>44123</v>
      </c>
      <c r="F241">
        <v>28</v>
      </c>
      <c r="G241">
        <v>65</v>
      </c>
      <c r="H241" t="b">
        <v>1</v>
      </c>
      <c r="I241">
        <f t="shared" si="6"/>
        <v>1</v>
      </c>
      <c r="J241" t="str">
        <f t="shared" si="7"/>
        <v>601-750 (Good)</v>
      </c>
      <c r="K241" s="1"/>
    </row>
    <row r="242" spans="1:11" x14ac:dyDescent="0.35">
      <c r="A242" t="s">
        <v>3325</v>
      </c>
      <c r="B242" t="s">
        <v>3326</v>
      </c>
      <c r="C242">
        <v>34373</v>
      </c>
      <c r="D242">
        <v>395</v>
      </c>
      <c r="E242">
        <v>44115</v>
      </c>
      <c r="F242">
        <v>21</v>
      </c>
      <c r="G242">
        <v>25</v>
      </c>
      <c r="H242" t="b">
        <v>0</v>
      </c>
      <c r="I242">
        <f t="shared" si="6"/>
        <v>0</v>
      </c>
      <c r="J242" t="str">
        <f t="shared" si="7"/>
        <v>300-450 (Poor)</v>
      </c>
      <c r="K242" s="1"/>
    </row>
    <row r="243" spans="1:11" x14ac:dyDescent="0.35">
      <c r="A243" t="s">
        <v>2412</v>
      </c>
      <c r="B243" t="s">
        <v>2413</v>
      </c>
      <c r="C243">
        <v>131671</v>
      </c>
      <c r="D243">
        <v>333</v>
      </c>
      <c r="E243">
        <v>44061</v>
      </c>
      <c r="F243">
        <v>9</v>
      </c>
      <c r="G243">
        <v>45</v>
      </c>
      <c r="H243" t="b">
        <v>0</v>
      </c>
      <c r="I243">
        <f t="shared" si="6"/>
        <v>0</v>
      </c>
      <c r="J243" t="str">
        <f t="shared" si="7"/>
        <v>300-450 (Poor)</v>
      </c>
      <c r="K243" s="1"/>
    </row>
    <row r="244" spans="1:11" x14ac:dyDescent="0.35">
      <c r="A244" t="s">
        <v>2216</v>
      </c>
      <c r="B244" t="s">
        <v>1777</v>
      </c>
      <c r="C244">
        <v>117026</v>
      </c>
      <c r="D244">
        <v>520</v>
      </c>
      <c r="E244">
        <v>44054</v>
      </c>
      <c r="F244">
        <v>23</v>
      </c>
      <c r="G244">
        <v>50</v>
      </c>
      <c r="H244" t="b">
        <v>0</v>
      </c>
      <c r="I244">
        <f t="shared" si="6"/>
        <v>0</v>
      </c>
      <c r="J244" t="str">
        <f t="shared" si="7"/>
        <v>451-600 (Fair)</v>
      </c>
      <c r="K244" s="1"/>
    </row>
    <row r="245" spans="1:11" x14ac:dyDescent="0.35">
      <c r="A245" t="s">
        <v>3483</v>
      </c>
      <c r="B245" t="s">
        <v>3484</v>
      </c>
      <c r="C245">
        <v>149195</v>
      </c>
      <c r="D245">
        <v>684</v>
      </c>
      <c r="E245">
        <v>44042</v>
      </c>
      <c r="F245">
        <v>18</v>
      </c>
      <c r="G245">
        <v>75</v>
      </c>
      <c r="H245" t="b">
        <v>1</v>
      </c>
      <c r="I245">
        <f t="shared" si="6"/>
        <v>1</v>
      </c>
      <c r="J245" t="str">
        <f t="shared" si="7"/>
        <v>601-750 (Good)</v>
      </c>
      <c r="K245" s="1"/>
    </row>
    <row r="246" spans="1:11" x14ac:dyDescent="0.35">
      <c r="A246" t="s">
        <v>117</v>
      </c>
      <c r="B246" t="s">
        <v>118</v>
      </c>
      <c r="C246">
        <v>43396</v>
      </c>
      <c r="D246">
        <v>451</v>
      </c>
      <c r="E246">
        <v>43995</v>
      </c>
      <c r="F246">
        <v>0</v>
      </c>
      <c r="G246">
        <v>10</v>
      </c>
      <c r="H246" t="b">
        <v>0</v>
      </c>
      <c r="I246">
        <f t="shared" si="6"/>
        <v>0</v>
      </c>
      <c r="J246" t="str">
        <f t="shared" si="7"/>
        <v>451-600 (Fair)</v>
      </c>
      <c r="K246" s="1"/>
    </row>
    <row r="247" spans="1:11" x14ac:dyDescent="0.35">
      <c r="A247" t="s">
        <v>2246</v>
      </c>
      <c r="B247" t="s">
        <v>2247</v>
      </c>
      <c r="C247">
        <v>62951</v>
      </c>
      <c r="D247">
        <v>764</v>
      </c>
      <c r="E247">
        <v>43945</v>
      </c>
      <c r="F247">
        <v>9</v>
      </c>
      <c r="G247">
        <v>65</v>
      </c>
      <c r="H247" t="b">
        <v>1</v>
      </c>
      <c r="I247">
        <f t="shared" si="6"/>
        <v>1</v>
      </c>
      <c r="J247" t="str">
        <f t="shared" si="7"/>
        <v>751-850 (Excellent)</v>
      </c>
      <c r="K247" s="1"/>
    </row>
    <row r="248" spans="1:11" x14ac:dyDescent="0.35">
      <c r="A248" t="s">
        <v>2986</v>
      </c>
      <c r="B248" t="s">
        <v>2987</v>
      </c>
      <c r="C248">
        <v>149333</v>
      </c>
      <c r="D248">
        <v>307</v>
      </c>
      <c r="E248">
        <v>43915</v>
      </c>
      <c r="F248">
        <v>16</v>
      </c>
      <c r="G248">
        <v>50</v>
      </c>
      <c r="H248" t="b">
        <v>0</v>
      </c>
      <c r="I248">
        <f t="shared" si="6"/>
        <v>0</v>
      </c>
      <c r="J248" t="str">
        <f t="shared" si="7"/>
        <v>300-450 (Poor)</v>
      </c>
      <c r="K248" s="1"/>
    </row>
    <row r="249" spans="1:11" x14ac:dyDescent="0.35">
      <c r="A249" t="s">
        <v>621</v>
      </c>
      <c r="B249" t="s">
        <v>622</v>
      </c>
      <c r="C249">
        <v>73309</v>
      </c>
      <c r="D249">
        <v>395</v>
      </c>
      <c r="E249">
        <v>43899</v>
      </c>
      <c r="F249">
        <v>23</v>
      </c>
      <c r="G249">
        <v>35</v>
      </c>
      <c r="H249" t="b">
        <v>0</v>
      </c>
      <c r="I249">
        <f t="shared" si="6"/>
        <v>0</v>
      </c>
      <c r="J249" t="str">
        <f t="shared" si="7"/>
        <v>300-450 (Poor)</v>
      </c>
      <c r="K249" s="1"/>
    </row>
    <row r="250" spans="1:11" x14ac:dyDescent="0.35">
      <c r="A250" t="s">
        <v>1847</v>
      </c>
      <c r="B250" t="s">
        <v>1848</v>
      </c>
      <c r="C250">
        <v>90515</v>
      </c>
      <c r="D250">
        <v>711</v>
      </c>
      <c r="E250">
        <v>43860</v>
      </c>
      <c r="F250">
        <v>20</v>
      </c>
      <c r="G250">
        <v>65</v>
      </c>
      <c r="H250" t="b">
        <v>1</v>
      </c>
      <c r="I250">
        <f t="shared" si="6"/>
        <v>1</v>
      </c>
      <c r="J250" t="str">
        <f t="shared" si="7"/>
        <v>601-750 (Good)</v>
      </c>
      <c r="K250" s="1"/>
    </row>
    <row r="251" spans="1:11" x14ac:dyDescent="0.35">
      <c r="A251" t="s">
        <v>524</v>
      </c>
      <c r="B251" t="s">
        <v>525</v>
      </c>
      <c r="C251">
        <v>130379</v>
      </c>
      <c r="D251">
        <v>382</v>
      </c>
      <c r="E251">
        <v>43843</v>
      </c>
      <c r="F251">
        <v>2</v>
      </c>
      <c r="G251">
        <v>40</v>
      </c>
      <c r="H251" t="b">
        <v>0</v>
      </c>
      <c r="I251">
        <f t="shared" si="6"/>
        <v>0</v>
      </c>
      <c r="J251" t="str">
        <f t="shared" si="7"/>
        <v>300-450 (Poor)</v>
      </c>
      <c r="K251" s="1"/>
    </row>
    <row r="252" spans="1:11" x14ac:dyDescent="0.35">
      <c r="A252" t="s">
        <v>2373</v>
      </c>
      <c r="B252" t="s">
        <v>2374</v>
      </c>
      <c r="C252">
        <v>105631</v>
      </c>
      <c r="D252">
        <v>599</v>
      </c>
      <c r="E252">
        <v>43837</v>
      </c>
      <c r="F252">
        <v>15</v>
      </c>
      <c r="G252">
        <v>60</v>
      </c>
      <c r="H252" t="b">
        <v>1</v>
      </c>
      <c r="I252">
        <f t="shared" si="6"/>
        <v>1</v>
      </c>
      <c r="J252" t="str">
        <f t="shared" si="7"/>
        <v>451-600 (Fair)</v>
      </c>
      <c r="K252" s="1"/>
    </row>
    <row r="253" spans="1:11" x14ac:dyDescent="0.35">
      <c r="A253" t="s">
        <v>3260</v>
      </c>
      <c r="B253" t="s">
        <v>3261</v>
      </c>
      <c r="C253">
        <v>127671</v>
      </c>
      <c r="D253">
        <v>600</v>
      </c>
      <c r="E253">
        <v>43827</v>
      </c>
      <c r="F253">
        <v>25</v>
      </c>
      <c r="G253">
        <v>65</v>
      </c>
      <c r="H253" t="b">
        <v>1</v>
      </c>
      <c r="I253">
        <f t="shared" si="6"/>
        <v>1</v>
      </c>
      <c r="J253" t="str">
        <f t="shared" si="7"/>
        <v>451-600 (Fair)</v>
      </c>
      <c r="K253" s="1"/>
    </row>
    <row r="254" spans="1:11" x14ac:dyDescent="0.35">
      <c r="A254" t="s">
        <v>2420</v>
      </c>
      <c r="B254" t="s">
        <v>2421</v>
      </c>
      <c r="C254">
        <v>149079</v>
      </c>
      <c r="D254">
        <v>670</v>
      </c>
      <c r="E254">
        <v>43816</v>
      </c>
      <c r="F254">
        <v>30</v>
      </c>
      <c r="G254">
        <v>75</v>
      </c>
      <c r="H254" t="b">
        <v>1</v>
      </c>
      <c r="I254">
        <f t="shared" si="6"/>
        <v>1</v>
      </c>
      <c r="J254" t="str">
        <f t="shared" si="7"/>
        <v>601-750 (Good)</v>
      </c>
      <c r="K254" s="1"/>
    </row>
    <row r="255" spans="1:11" x14ac:dyDescent="0.35">
      <c r="A255" t="s">
        <v>442</v>
      </c>
      <c r="B255" t="s">
        <v>443</v>
      </c>
      <c r="C255">
        <v>149619</v>
      </c>
      <c r="D255">
        <v>716</v>
      </c>
      <c r="E255">
        <v>43787</v>
      </c>
      <c r="F255">
        <v>30</v>
      </c>
      <c r="G255">
        <v>75</v>
      </c>
      <c r="H255" t="b">
        <v>1</v>
      </c>
      <c r="I255">
        <f t="shared" si="6"/>
        <v>1</v>
      </c>
      <c r="J255" t="str">
        <f t="shared" si="7"/>
        <v>601-750 (Good)</v>
      </c>
      <c r="K255" s="1"/>
    </row>
    <row r="256" spans="1:11" x14ac:dyDescent="0.35">
      <c r="A256" t="s">
        <v>2110</v>
      </c>
      <c r="B256" t="s">
        <v>2111</v>
      </c>
      <c r="C256">
        <v>145557</v>
      </c>
      <c r="D256">
        <v>620</v>
      </c>
      <c r="E256">
        <v>43775</v>
      </c>
      <c r="F256">
        <v>25</v>
      </c>
      <c r="G256">
        <v>65</v>
      </c>
      <c r="H256" t="b">
        <v>1</v>
      </c>
      <c r="I256">
        <f t="shared" si="6"/>
        <v>1</v>
      </c>
      <c r="J256" t="str">
        <f t="shared" si="7"/>
        <v>601-750 (Good)</v>
      </c>
      <c r="K256" s="1"/>
    </row>
    <row r="257" spans="1:11" x14ac:dyDescent="0.35">
      <c r="A257" t="s">
        <v>444</v>
      </c>
      <c r="B257" t="s">
        <v>445</v>
      </c>
      <c r="C257">
        <v>43947</v>
      </c>
      <c r="D257">
        <v>391</v>
      </c>
      <c r="E257">
        <v>43749</v>
      </c>
      <c r="F257">
        <v>36</v>
      </c>
      <c r="G257">
        <v>25</v>
      </c>
      <c r="H257" t="b">
        <v>0</v>
      </c>
      <c r="I257">
        <f t="shared" si="6"/>
        <v>0</v>
      </c>
      <c r="J257" t="str">
        <f t="shared" si="7"/>
        <v>300-450 (Poor)</v>
      </c>
      <c r="K257" s="1"/>
    </row>
    <row r="258" spans="1:11" x14ac:dyDescent="0.35">
      <c r="A258" t="s">
        <v>2532</v>
      </c>
      <c r="B258" t="s">
        <v>2533</v>
      </c>
      <c r="C258">
        <v>149067</v>
      </c>
      <c r="D258">
        <v>745</v>
      </c>
      <c r="E258">
        <v>43735</v>
      </c>
      <c r="F258">
        <v>22</v>
      </c>
      <c r="G258">
        <v>85</v>
      </c>
      <c r="H258" t="b">
        <v>1</v>
      </c>
      <c r="I258">
        <f t="shared" si="6"/>
        <v>1</v>
      </c>
      <c r="J258" t="str">
        <f t="shared" si="7"/>
        <v>601-750 (Good)</v>
      </c>
      <c r="K258" s="1"/>
    </row>
    <row r="259" spans="1:11" x14ac:dyDescent="0.35">
      <c r="A259" t="s">
        <v>1955</v>
      </c>
      <c r="B259" t="s">
        <v>1956</v>
      </c>
      <c r="C259">
        <v>124156</v>
      </c>
      <c r="D259">
        <v>774</v>
      </c>
      <c r="E259">
        <v>43618</v>
      </c>
      <c r="F259">
        <v>24</v>
      </c>
      <c r="G259">
        <v>85</v>
      </c>
      <c r="H259" t="b">
        <v>1</v>
      </c>
      <c r="I259">
        <f t="shared" si="6"/>
        <v>1</v>
      </c>
      <c r="J259" t="str">
        <f t="shared" si="7"/>
        <v>751-850 (Excellent)</v>
      </c>
      <c r="K259" s="1"/>
    </row>
    <row r="260" spans="1:11" x14ac:dyDescent="0.35">
      <c r="A260" t="s">
        <v>3495</v>
      </c>
      <c r="B260" t="s">
        <v>2157</v>
      </c>
      <c r="C260">
        <v>48320</v>
      </c>
      <c r="D260">
        <v>670</v>
      </c>
      <c r="E260">
        <v>43610</v>
      </c>
      <c r="F260">
        <v>15</v>
      </c>
      <c r="G260">
        <v>50</v>
      </c>
      <c r="H260" t="b">
        <v>0</v>
      </c>
      <c r="I260">
        <f t="shared" ref="I260:I323" si="8">--H260</f>
        <v>0</v>
      </c>
      <c r="J260" t="str">
        <f t="shared" ref="J260:J323" si="9">IF(D260&gt;750, "751-850 (Excellent)", IF(D260&gt;600, "601-750 (Good)", IF(D260&gt;450, "451-600 (Fair)", "300-450 (Poor)")))</f>
        <v>601-750 (Good)</v>
      </c>
      <c r="K260" s="1"/>
    </row>
    <row r="261" spans="1:11" x14ac:dyDescent="0.35">
      <c r="A261" t="s">
        <v>1952</v>
      </c>
      <c r="B261" t="s">
        <v>951</v>
      </c>
      <c r="C261">
        <v>109593</v>
      </c>
      <c r="D261">
        <v>827</v>
      </c>
      <c r="E261">
        <v>43604</v>
      </c>
      <c r="F261">
        <v>21</v>
      </c>
      <c r="G261">
        <v>90</v>
      </c>
      <c r="H261" t="b">
        <v>1</v>
      </c>
      <c r="I261">
        <f t="shared" si="8"/>
        <v>1</v>
      </c>
      <c r="J261" t="str">
        <f t="shared" si="9"/>
        <v>751-850 (Excellent)</v>
      </c>
      <c r="K261" s="1"/>
    </row>
    <row r="262" spans="1:11" x14ac:dyDescent="0.35">
      <c r="A262" t="s">
        <v>373</v>
      </c>
      <c r="B262" t="s">
        <v>198</v>
      </c>
      <c r="C262">
        <v>38326</v>
      </c>
      <c r="D262">
        <v>621</v>
      </c>
      <c r="E262">
        <v>43569</v>
      </c>
      <c r="F262">
        <v>17</v>
      </c>
      <c r="G262">
        <v>40</v>
      </c>
      <c r="H262" t="b">
        <v>0</v>
      </c>
      <c r="I262">
        <f t="shared" si="8"/>
        <v>0</v>
      </c>
      <c r="J262" t="str">
        <f t="shared" si="9"/>
        <v>601-750 (Good)</v>
      </c>
      <c r="K262" s="1"/>
    </row>
    <row r="263" spans="1:11" x14ac:dyDescent="0.35">
      <c r="A263" t="s">
        <v>1133</v>
      </c>
      <c r="B263" t="s">
        <v>547</v>
      </c>
      <c r="C263">
        <v>134349</v>
      </c>
      <c r="D263">
        <v>599</v>
      </c>
      <c r="E263">
        <v>43559</v>
      </c>
      <c r="F263">
        <v>24</v>
      </c>
      <c r="G263">
        <v>65</v>
      </c>
      <c r="H263" t="b">
        <v>1</v>
      </c>
      <c r="I263">
        <f t="shared" si="8"/>
        <v>1</v>
      </c>
      <c r="J263" t="str">
        <f t="shared" si="9"/>
        <v>451-600 (Fair)</v>
      </c>
      <c r="K263" s="1"/>
    </row>
    <row r="264" spans="1:11" x14ac:dyDescent="0.35">
      <c r="A264" t="s">
        <v>1715</v>
      </c>
      <c r="B264" t="s">
        <v>1716</v>
      </c>
      <c r="C264">
        <v>101121</v>
      </c>
      <c r="D264">
        <v>383</v>
      </c>
      <c r="E264">
        <v>43539</v>
      </c>
      <c r="F264">
        <v>4</v>
      </c>
      <c r="G264">
        <v>35</v>
      </c>
      <c r="H264" t="b">
        <v>0</v>
      </c>
      <c r="I264">
        <f t="shared" si="8"/>
        <v>0</v>
      </c>
      <c r="J264" t="str">
        <f t="shared" si="9"/>
        <v>300-450 (Poor)</v>
      </c>
      <c r="K264" s="1"/>
    </row>
    <row r="265" spans="1:11" x14ac:dyDescent="0.35">
      <c r="A265" t="s">
        <v>833</v>
      </c>
      <c r="B265" t="s">
        <v>834</v>
      </c>
      <c r="C265">
        <v>71104</v>
      </c>
      <c r="D265">
        <v>731</v>
      </c>
      <c r="E265">
        <v>43522</v>
      </c>
      <c r="F265">
        <v>10</v>
      </c>
      <c r="G265">
        <v>60</v>
      </c>
      <c r="H265" t="b">
        <v>1</v>
      </c>
      <c r="I265">
        <f t="shared" si="8"/>
        <v>1</v>
      </c>
      <c r="J265" t="str">
        <f t="shared" si="9"/>
        <v>601-750 (Good)</v>
      </c>
      <c r="K265" s="1"/>
    </row>
    <row r="266" spans="1:11" x14ac:dyDescent="0.35">
      <c r="A266" t="s">
        <v>3328</v>
      </c>
      <c r="B266" t="s">
        <v>3329</v>
      </c>
      <c r="C266">
        <v>77823</v>
      </c>
      <c r="D266">
        <v>489</v>
      </c>
      <c r="E266">
        <v>43499</v>
      </c>
      <c r="F266">
        <v>36</v>
      </c>
      <c r="G266">
        <v>40</v>
      </c>
      <c r="H266" t="b">
        <v>0</v>
      </c>
      <c r="I266">
        <f t="shared" si="8"/>
        <v>0</v>
      </c>
      <c r="J266" t="str">
        <f t="shared" si="9"/>
        <v>451-600 (Fair)</v>
      </c>
      <c r="K266" s="1"/>
    </row>
    <row r="267" spans="1:11" x14ac:dyDescent="0.35">
      <c r="A267" t="s">
        <v>2732</v>
      </c>
      <c r="B267" t="s">
        <v>2733</v>
      </c>
      <c r="C267">
        <v>97952</v>
      </c>
      <c r="D267">
        <v>486</v>
      </c>
      <c r="E267">
        <v>43456</v>
      </c>
      <c r="F267">
        <v>36</v>
      </c>
      <c r="G267">
        <v>40</v>
      </c>
      <c r="H267" t="b">
        <v>0</v>
      </c>
      <c r="I267">
        <f t="shared" si="8"/>
        <v>0</v>
      </c>
      <c r="J267" t="str">
        <f t="shared" si="9"/>
        <v>451-600 (Fair)</v>
      </c>
      <c r="K267" s="1"/>
    </row>
    <row r="268" spans="1:11" x14ac:dyDescent="0.35">
      <c r="A268" t="s">
        <v>1316</v>
      </c>
      <c r="B268" t="s">
        <v>1317</v>
      </c>
      <c r="C268">
        <v>97033</v>
      </c>
      <c r="D268">
        <v>596</v>
      </c>
      <c r="E268">
        <v>43453</v>
      </c>
      <c r="F268">
        <v>12</v>
      </c>
      <c r="G268">
        <v>55</v>
      </c>
      <c r="H268" t="b">
        <v>0</v>
      </c>
      <c r="I268">
        <f t="shared" si="8"/>
        <v>0</v>
      </c>
      <c r="J268" t="str">
        <f t="shared" si="9"/>
        <v>451-600 (Fair)</v>
      </c>
      <c r="K268" s="1"/>
    </row>
    <row r="269" spans="1:11" x14ac:dyDescent="0.35">
      <c r="A269" t="s">
        <v>2257</v>
      </c>
      <c r="B269" t="s">
        <v>2258</v>
      </c>
      <c r="C269">
        <v>45670</v>
      </c>
      <c r="D269">
        <v>351</v>
      </c>
      <c r="E269">
        <v>43358</v>
      </c>
      <c r="F269">
        <v>15</v>
      </c>
      <c r="G269">
        <v>25</v>
      </c>
      <c r="H269" t="b">
        <v>0</v>
      </c>
      <c r="I269">
        <f t="shared" si="8"/>
        <v>0</v>
      </c>
      <c r="J269" t="str">
        <f t="shared" si="9"/>
        <v>300-450 (Poor)</v>
      </c>
      <c r="K269" s="1"/>
    </row>
    <row r="270" spans="1:11" x14ac:dyDescent="0.35">
      <c r="A270" t="s">
        <v>3479</v>
      </c>
      <c r="B270" t="s">
        <v>2743</v>
      </c>
      <c r="C270">
        <v>113283</v>
      </c>
      <c r="D270">
        <v>539</v>
      </c>
      <c r="E270">
        <v>43279</v>
      </c>
      <c r="F270">
        <v>23</v>
      </c>
      <c r="G270">
        <v>50</v>
      </c>
      <c r="H270" t="b">
        <v>0</v>
      </c>
      <c r="I270">
        <f t="shared" si="8"/>
        <v>0</v>
      </c>
      <c r="J270" t="str">
        <f t="shared" si="9"/>
        <v>451-600 (Fair)</v>
      </c>
      <c r="K270" s="1"/>
    </row>
    <row r="271" spans="1:11" x14ac:dyDescent="0.35">
      <c r="A271" t="s">
        <v>1959</v>
      </c>
      <c r="B271" t="s">
        <v>1960</v>
      </c>
      <c r="C271">
        <v>131946</v>
      </c>
      <c r="D271">
        <v>795</v>
      </c>
      <c r="E271">
        <v>43244</v>
      </c>
      <c r="F271">
        <v>27</v>
      </c>
      <c r="G271">
        <v>85</v>
      </c>
      <c r="H271" t="b">
        <v>1</v>
      </c>
      <c r="I271">
        <f t="shared" si="8"/>
        <v>1</v>
      </c>
      <c r="J271" t="str">
        <f t="shared" si="9"/>
        <v>751-850 (Excellent)</v>
      </c>
      <c r="K271" s="1"/>
    </row>
    <row r="272" spans="1:11" x14ac:dyDescent="0.35">
      <c r="A272" t="s">
        <v>2071</v>
      </c>
      <c r="B272" t="s">
        <v>2072</v>
      </c>
      <c r="C272">
        <v>126180</v>
      </c>
      <c r="D272">
        <v>313</v>
      </c>
      <c r="E272">
        <v>43236</v>
      </c>
      <c r="F272">
        <v>2</v>
      </c>
      <c r="G272">
        <v>40</v>
      </c>
      <c r="H272" t="b">
        <v>0</v>
      </c>
      <c r="I272">
        <f t="shared" si="8"/>
        <v>0</v>
      </c>
      <c r="J272" t="str">
        <f t="shared" si="9"/>
        <v>300-450 (Poor)</v>
      </c>
      <c r="K272" s="1"/>
    </row>
    <row r="273" spans="1:11" x14ac:dyDescent="0.35">
      <c r="A273" t="s">
        <v>1927</v>
      </c>
      <c r="B273" t="s">
        <v>1928</v>
      </c>
      <c r="C273">
        <v>46544</v>
      </c>
      <c r="D273">
        <v>366</v>
      </c>
      <c r="E273">
        <v>43204</v>
      </c>
      <c r="F273">
        <v>21</v>
      </c>
      <c r="G273">
        <v>25</v>
      </c>
      <c r="H273" t="b">
        <v>0</v>
      </c>
      <c r="I273">
        <f t="shared" si="8"/>
        <v>0</v>
      </c>
      <c r="J273" t="str">
        <f t="shared" si="9"/>
        <v>300-450 (Poor)</v>
      </c>
      <c r="K273" s="1"/>
    </row>
    <row r="274" spans="1:11" x14ac:dyDescent="0.35">
      <c r="A274" t="s">
        <v>2670</v>
      </c>
      <c r="B274" t="s">
        <v>2671</v>
      </c>
      <c r="C274">
        <v>142424</v>
      </c>
      <c r="D274">
        <v>652</v>
      </c>
      <c r="E274">
        <v>43195</v>
      </c>
      <c r="F274">
        <v>9</v>
      </c>
      <c r="G274">
        <v>60</v>
      </c>
      <c r="H274" t="b">
        <v>1</v>
      </c>
      <c r="I274">
        <f t="shared" si="8"/>
        <v>1</v>
      </c>
      <c r="J274" t="str">
        <f t="shared" si="9"/>
        <v>601-750 (Good)</v>
      </c>
      <c r="K274" s="1"/>
    </row>
    <row r="275" spans="1:11" x14ac:dyDescent="0.35">
      <c r="A275" t="s">
        <v>3831</v>
      </c>
      <c r="B275" t="s">
        <v>3832</v>
      </c>
      <c r="C275">
        <v>44996</v>
      </c>
      <c r="D275">
        <v>546</v>
      </c>
      <c r="E275">
        <v>43182</v>
      </c>
      <c r="F275">
        <v>38</v>
      </c>
      <c r="G275">
        <v>25</v>
      </c>
      <c r="H275" t="b">
        <v>0</v>
      </c>
      <c r="I275">
        <f t="shared" si="8"/>
        <v>0</v>
      </c>
      <c r="J275" t="str">
        <f t="shared" si="9"/>
        <v>451-600 (Fair)</v>
      </c>
      <c r="K275" s="1"/>
    </row>
    <row r="276" spans="1:11" x14ac:dyDescent="0.35">
      <c r="A276" t="s">
        <v>3567</v>
      </c>
      <c r="B276" t="s">
        <v>3568</v>
      </c>
      <c r="C276">
        <v>60947</v>
      </c>
      <c r="D276">
        <v>708</v>
      </c>
      <c r="E276">
        <v>43175</v>
      </c>
      <c r="F276">
        <v>11</v>
      </c>
      <c r="G276">
        <v>60</v>
      </c>
      <c r="H276" t="b">
        <v>1</v>
      </c>
      <c r="I276">
        <f t="shared" si="8"/>
        <v>1</v>
      </c>
      <c r="J276" t="str">
        <f t="shared" si="9"/>
        <v>601-750 (Good)</v>
      </c>
      <c r="K276" s="1"/>
    </row>
    <row r="277" spans="1:11" x14ac:dyDescent="0.35">
      <c r="A277" t="s">
        <v>135</v>
      </c>
      <c r="B277" t="s">
        <v>136</v>
      </c>
      <c r="C277">
        <v>135791</v>
      </c>
      <c r="D277">
        <v>385</v>
      </c>
      <c r="E277">
        <v>43123</v>
      </c>
      <c r="F277">
        <v>27</v>
      </c>
      <c r="G277">
        <v>50</v>
      </c>
      <c r="H277" t="b">
        <v>0</v>
      </c>
      <c r="I277">
        <f t="shared" si="8"/>
        <v>0</v>
      </c>
      <c r="J277" t="str">
        <f t="shared" si="9"/>
        <v>300-450 (Poor)</v>
      </c>
      <c r="K277" s="1"/>
    </row>
    <row r="278" spans="1:11" x14ac:dyDescent="0.35">
      <c r="A278" t="s">
        <v>2056</v>
      </c>
      <c r="B278" t="s">
        <v>2057</v>
      </c>
      <c r="C278">
        <v>113307</v>
      </c>
      <c r="D278">
        <v>352</v>
      </c>
      <c r="E278">
        <v>43101</v>
      </c>
      <c r="F278">
        <v>15</v>
      </c>
      <c r="G278">
        <v>50</v>
      </c>
      <c r="H278" t="b">
        <v>0</v>
      </c>
      <c r="I278">
        <f t="shared" si="8"/>
        <v>0</v>
      </c>
      <c r="J278" t="str">
        <f t="shared" si="9"/>
        <v>300-450 (Poor)</v>
      </c>
      <c r="K278" s="1"/>
    </row>
    <row r="279" spans="1:11" x14ac:dyDescent="0.35">
      <c r="A279" t="s">
        <v>3513</v>
      </c>
      <c r="B279" t="s">
        <v>957</v>
      </c>
      <c r="C279">
        <v>47781</v>
      </c>
      <c r="D279">
        <v>753</v>
      </c>
      <c r="E279">
        <v>43078</v>
      </c>
      <c r="F279">
        <v>26</v>
      </c>
      <c r="G279">
        <v>60</v>
      </c>
      <c r="H279" t="b">
        <v>1</v>
      </c>
      <c r="I279">
        <f t="shared" si="8"/>
        <v>1</v>
      </c>
      <c r="J279" t="str">
        <f t="shared" si="9"/>
        <v>751-850 (Excellent)</v>
      </c>
      <c r="K279" s="1"/>
    </row>
    <row r="280" spans="1:11" x14ac:dyDescent="0.35">
      <c r="A280" t="s">
        <v>396</v>
      </c>
      <c r="B280" t="s">
        <v>397</v>
      </c>
      <c r="C280">
        <v>45014</v>
      </c>
      <c r="D280">
        <v>596</v>
      </c>
      <c r="E280">
        <v>43068</v>
      </c>
      <c r="F280">
        <v>19</v>
      </c>
      <c r="G280">
        <v>40</v>
      </c>
      <c r="H280" t="b">
        <v>0</v>
      </c>
      <c r="I280">
        <f t="shared" si="8"/>
        <v>0</v>
      </c>
      <c r="J280" t="str">
        <f t="shared" si="9"/>
        <v>451-600 (Fair)</v>
      </c>
      <c r="K280" s="1"/>
    </row>
    <row r="281" spans="1:11" x14ac:dyDescent="0.35">
      <c r="A281" t="s">
        <v>2406</v>
      </c>
      <c r="B281" t="s">
        <v>2407</v>
      </c>
      <c r="C281">
        <v>133643</v>
      </c>
      <c r="D281">
        <v>373</v>
      </c>
      <c r="E281">
        <v>43066</v>
      </c>
      <c r="F281">
        <v>27</v>
      </c>
      <c r="G281">
        <v>50</v>
      </c>
      <c r="H281" t="b">
        <v>0</v>
      </c>
      <c r="I281">
        <f t="shared" si="8"/>
        <v>0</v>
      </c>
      <c r="J281" t="str">
        <f t="shared" si="9"/>
        <v>300-450 (Poor)</v>
      </c>
      <c r="K281" s="1"/>
    </row>
    <row r="282" spans="1:11" x14ac:dyDescent="0.35">
      <c r="A282" t="s">
        <v>99</v>
      </c>
      <c r="B282" t="s">
        <v>100</v>
      </c>
      <c r="C282">
        <v>50926</v>
      </c>
      <c r="D282">
        <v>659</v>
      </c>
      <c r="E282">
        <v>43040</v>
      </c>
      <c r="F282">
        <v>32</v>
      </c>
      <c r="G282">
        <v>50</v>
      </c>
      <c r="H282" t="b">
        <v>0</v>
      </c>
      <c r="I282">
        <f t="shared" si="8"/>
        <v>0</v>
      </c>
      <c r="J282" t="str">
        <f t="shared" si="9"/>
        <v>601-750 (Good)</v>
      </c>
      <c r="K282" s="1"/>
    </row>
    <row r="283" spans="1:11" x14ac:dyDescent="0.35">
      <c r="A283" t="s">
        <v>394</v>
      </c>
      <c r="B283" t="s">
        <v>395</v>
      </c>
      <c r="C283">
        <v>124466</v>
      </c>
      <c r="D283">
        <v>346</v>
      </c>
      <c r="E283">
        <v>43038</v>
      </c>
      <c r="F283">
        <v>36</v>
      </c>
      <c r="G283">
        <v>50</v>
      </c>
      <c r="H283" t="b">
        <v>0</v>
      </c>
      <c r="I283">
        <f t="shared" si="8"/>
        <v>0</v>
      </c>
      <c r="J283" t="str">
        <f t="shared" si="9"/>
        <v>300-450 (Poor)</v>
      </c>
      <c r="K283" s="1"/>
    </row>
    <row r="284" spans="1:11" x14ac:dyDescent="0.35">
      <c r="A284" t="s">
        <v>1541</v>
      </c>
      <c r="B284" t="s">
        <v>1542</v>
      </c>
      <c r="C284">
        <v>80328</v>
      </c>
      <c r="D284">
        <v>353</v>
      </c>
      <c r="E284">
        <v>43033</v>
      </c>
      <c r="F284">
        <v>11</v>
      </c>
      <c r="G284">
        <v>40</v>
      </c>
      <c r="H284" t="b">
        <v>0</v>
      </c>
      <c r="I284">
        <f t="shared" si="8"/>
        <v>0</v>
      </c>
      <c r="J284" t="str">
        <f t="shared" si="9"/>
        <v>300-450 (Poor)</v>
      </c>
      <c r="K284" s="1"/>
    </row>
    <row r="285" spans="1:11" x14ac:dyDescent="0.35">
      <c r="A285" t="s">
        <v>1839</v>
      </c>
      <c r="B285" t="s">
        <v>1840</v>
      </c>
      <c r="C285">
        <v>114246</v>
      </c>
      <c r="D285">
        <v>835</v>
      </c>
      <c r="E285">
        <v>43009</v>
      </c>
      <c r="F285">
        <v>6</v>
      </c>
      <c r="G285">
        <v>85</v>
      </c>
      <c r="H285" t="b">
        <v>1</v>
      </c>
      <c r="I285">
        <f t="shared" si="8"/>
        <v>1</v>
      </c>
      <c r="J285" t="str">
        <f t="shared" si="9"/>
        <v>751-850 (Excellent)</v>
      </c>
      <c r="K285" s="1"/>
    </row>
    <row r="286" spans="1:11" x14ac:dyDescent="0.35">
      <c r="A286" t="s">
        <v>41</v>
      </c>
      <c r="B286" t="s">
        <v>42</v>
      </c>
      <c r="C286">
        <v>146939</v>
      </c>
      <c r="D286">
        <v>573</v>
      </c>
      <c r="E286">
        <v>43006</v>
      </c>
      <c r="F286">
        <v>21</v>
      </c>
      <c r="G286">
        <v>50</v>
      </c>
      <c r="H286" t="b">
        <v>0</v>
      </c>
      <c r="I286">
        <f t="shared" si="8"/>
        <v>0</v>
      </c>
      <c r="J286" t="str">
        <f t="shared" si="9"/>
        <v>451-600 (Fair)</v>
      </c>
      <c r="K286" s="1"/>
    </row>
    <row r="287" spans="1:11" x14ac:dyDescent="0.35">
      <c r="A287" t="s">
        <v>1027</v>
      </c>
      <c r="B287" t="s">
        <v>1028</v>
      </c>
      <c r="C287">
        <v>109276</v>
      </c>
      <c r="D287">
        <v>471</v>
      </c>
      <c r="E287">
        <v>42981</v>
      </c>
      <c r="F287">
        <v>21</v>
      </c>
      <c r="G287">
        <v>50</v>
      </c>
      <c r="H287" t="b">
        <v>0</v>
      </c>
      <c r="I287">
        <f t="shared" si="8"/>
        <v>0</v>
      </c>
      <c r="J287" t="str">
        <f t="shared" si="9"/>
        <v>451-600 (Fair)</v>
      </c>
      <c r="K287" s="1"/>
    </row>
    <row r="288" spans="1:11" x14ac:dyDescent="0.35">
      <c r="A288" t="s">
        <v>367</v>
      </c>
      <c r="B288" t="s">
        <v>368</v>
      </c>
      <c r="C288">
        <v>119192</v>
      </c>
      <c r="D288">
        <v>581</v>
      </c>
      <c r="E288">
        <v>42908</v>
      </c>
      <c r="F288">
        <v>3</v>
      </c>
      <c r="G288">
        <v>55</v>
      </c>
      <c r="H288" t="b">
        <v>0</v>
      </c>
      <c r="I288">
        <f t="shared" si="8"/>
        <v>0</v>
      </c>
      <c r="J288" t="str">
        <f t="shared" si="9"/>
        <v>451-600 (Fair)</v>
      </c>
      <c r="K288" s="1"/>
    </row>
    <row r="289" spans="1:11" x14ac:dyDescent="0.35">
      <c r="A289" t="s">
        <v>1434</v>
      </c>
      <c r="B289" t="s">
        <v>1435</v>
      </c>
      <c r="C289">
        <v>67606</v>
      </c>
      <c r="D289">
        <v>842</v>
      </c>
      <c r="E289">
        <v>42873</v>
      </c>
      <c r="F289">
        <v>4</v>
      </c>
      <c r="G289">
        <v>65</v>
      </c>
      <c r="H289" t="b">
        <v>1</v>
      </c>
      <c r="I289">
        <f t="shared" si="8"/>
        <v>1</v>
      </c>
      <c r="J289" t="str">
        <f t="shared" si="9"/>
        <v>751-850 (Excellent)</v>
      </c>
      <c r="K289" s="1"/>
    </row>
    <row r="290" spans="1:11" x14ac:dyDescent="0.35">
      <c r="A290" t="s">
        <v>3719</v>
      </c>
      <c r="B290" t="s">
        <v>3720</v>
      </c>
      <c r="C290">
        <v>127735</v>
      </c>
      <c r="D290">
        <v>804</v>
      </c>
      <c r="E290">
        <v>42869</v>
      </c>
      <c r="F290">
        <v>14</v>
      </c>
      <c r="G290">
        <v>90</v>
      </c>
      <c r="H290" t="b">
        <v>1</v>
      </c>
      <c r="I290">
        <f t="shared" si="8"/>
        <v>1</v>
      </c>
      <c r="J290" t="str">
        <f t="shared" si="9"/>
        <v>751-850 (Excellent)</v>
      </c>
      <c r="K290" s="1"/>
    </row>
    <row r="291" spans="1:11" x14ac:dyDescent="0.35">
      <c r="A291" t="s">
        <v>241</v>
      </c>
      <c r="B291" t="s">
        <v>242</v>
      </c>
      <c r="C291">
        <v>90589</v>
      </c>
      <c r="D291">
        <v>690</v>
      </c>
      <c r="E291">
        <v>42847</v>
      </c>
      <c r="F291">
        <v>23</v>
      </c>
      <c r="G291">
        <v>65</v>
      </c>
      <c r="H291" t="b">
        <v>1</v>
      </c>
      <c r="I291">
        <f t="shared" si="8"/>
        <v>1</v>
      </c>
      <c r="J291" t="str">
        <f t="shared" si="9"/>
        <v>601-750 (Good)</v>
      </c>
      <c r="K291" s="1"/>
    </row>
    <row r="292" spans="1:11" x14ac:dyDescent="0.35">
      <c r="A292" t="s">
        <v>2461</v>
      </c>
      <c r="B292" t="s">
        <v>2462</v>
      </c>
      <c r="C292">
        <v>61439</v>
      </c>
      <c r="D292">
        <v>540</v>
      </c>
      <c r="E292">
        <v>42793</v>
      </c>
      <c r="F292">
        <v>22</v>
      </c>
      <c r="G292">
        <v>35</v>
      </c>
      <c r="H292" t="b">
        <v>0</v>
      </c>
      <c r="I292">
        <f t="shared" si="8"/>
        <v>0</v>
      </c>
      <c r="J292" t="str">
        <f t="shared" si="9"/>
        <v>451-600 (Fair)</v>
      </c>
      <c r="K292" s="1"/>
    </row>
    <row r="293" spans="1:11" x14ac:dyDescent="0.35">
      <c r="A293" t="s">
        <v>2903</v>
      </c>
      <c r="B293" t="s">
        <v>2904</v>
      </c>
      <c r="C293">
        <v>73573</v>
      </c>
      <c r="D293">
        <v>372</v>
      </c>
      <c r="E293">
        <v>42785</v>
      </c>
      <c r="F293">
        <v>7</v>
      </c>
      <c r="G293">
        <v>30</v>
      </c>
      <c r="H293" t="b">
        <v>0</v>
      </c>
      <c r="I293">
        <f t="shared" si="8"/>
        <v>0</v>
      </c>
      <c r="J293" t="str">
        <f t="shared" si="9"/>
        <v>300-450 (Poor)</v>
      </c>
      <c r="K293" s="1"/>
    </row>
    <row r="294" spans="1:11" x14ac:dyDescent="0.35">
      <c r="A294" t="s">
        <v>1749</v>
      </c>
      <c r="B294" t="s">
        <v>1750</v>
      </c>
      <c r="C294">
        <v>79857</v>
      </c>
      <c r="D294">
        <v>429</v>
      </c>
      <c r="E294">
        <v>42770</v>
      </c>
      <c r="F294">
        <v>32</v>
      </c>
      <c r="G294">
        <v>40</v>
      </c>
      <c r="H294" t="b">
        <v>0</v>
      </c>
      <c r="I294">
        <f t="shared" si="8"/>
        <v>0</v>
      </c>
      <c r="J294" t="str">
        <f t="shared" si="9"/>
        <v>300-450 (Poor)</v>
      </c>
      <c r="K294" s="1"/>
    </row>
    <row r="295" spans="1:11" x14ac:dyDescent="0.35">
      <c r="A295" t="s">
        <v>2611</v>
      </c>
      <c r="B295" t="s">
        <v>2612</v>
      </c>
      <c r="C295">
        <v>106955</v>
      </c>
      <c r="D295">
        <v>645</v>
      </c>
      <c r="E295">
        <v>42729</v>
      </c>
      <c r="F295">
        <v>19</v>
      </c>
      <c r="G295">
        <v>65</v>
      </c>
      <c r="H295" t="b">
        <v>1</v>
      </c>
      <c r="I295">
        <f t="shared" si="8"/>
        <v>1</v>
      </c>
      <c r="J295" t="str">
        <f t="shared" si="9"/>
        <v>601-750 (Good)</v>
      </c>
      <c r="K295" s="1"/>
    </row>
    <row r="296" spans="1:11" x14ac:dyDescent="0.35">
      <c r="A296" t="s">
        <v>2872</v>
      </c>
      <c r="B296" t="s">
        <v>2873</v>
      </c>
      <c r="C296">
        <v>137551</v>
      </c>
      <c r="D296">
        <v>493</v>
      </c>
      <c r="E296">
        <v>42712</v>
      </c>
      <c r="F296">
        <v>39</v>
      </c>
      <c r="G296">
        <v>50</v>
      </c>
      <c r="H296" t="b">
        <v>0</v>
      </c>
      <c r="I296">
        <f t="shared" si="8"/>
        <v>0</v>
      </c>
      <c r="J296" t="str">
        <f t="shared" si="9"/>
        <v>451-600 (Fair)</v>
      </c>
      <c r="K296" s="1"/>
    </row>
    <row r="297" spans="1:11" x14ac:dyDescent="0.35">
      <c r="A297" t="s">
        <v>2641</v>
      </c>
      <c r="B297" t="s">
        <v>2642</v>
      </c>
      <c r="C297">
        <v>66458</v>
      </c>
      <c r="D297">
        <v>493</v>
      </c>
      <c r="E297">
        <v>42708</v>
      </c>
      <c r="F297">
        <v>1</v>
      </c>
      <c r="G297">
        <v>20</v>
      </c>
      <c r="H297" t="b">
        <v>0</v>
      </c>
      <c r="I297">
        <f t="shared" si="8"/>
        <v>0</v>
      </c>
      <c r="J297" t="str">
        <f t="shared" si="9"/>
        <v>451-600 (Fair)</v>
      </c>
      <c r="K297" s="1"/>
    </row>
    <row r="298" spans="1:11" x14ac:dyDescent="0.35">
      <c r="A298" t="s">
        <v>2182</v>
      </c>
      <c r="B298" t="s">
        <v>2183</v>
      </c>
      <c r="C298">
        <v>129374</v>
      </c>
      <c r="D298">
        <v>431</v>
      </c>
      <c r="E298">
        <v>42698</v>
      </c>
      <c r="F298">
        <v>24</v>
      </c>
      <c r="G298">
        <v>50</v>
      </c>
      <c r="H298" t="b">
        <v>0</v>
      </c>
      <c r="I298">
        <f t="shared" si="8"/>
        <v>0</v>
      </c>
      <c r="J298" t="str">
        <f t="shared" si="9"/>
        <v>300-450 (Poor)</v>
      </c>
      <c r="K298" s="1"/>
    </row>
    <row r="299" spans="1:11" x14ac:dyDescent="0.35">
      <c r="A299" t="s">
        <v>2472</v>
      </c>
      <c r="B299" t="s">
        <v>2473</v>
      </c>
      <c r="C299">
        <v>83545</v>
      </c>
      <c r="D299">
        <v>647</v>
      </c>
      <c r="E299">
        <v>42698</v>
      </c>
      <c r="F299">
        <v>2</v>
      </c>
      <c r="G299">
        <v>45</v>
      </c>
      <c r="H299" t="b">
        <v>0</v>
      </c>
      <c r="I299">
        <f t="shared" si="8"/>
        <v>0</v>
      </c>
      <c r="J299" t="str">
        <f t="shared" si="9"/>
        <v>601-750 (Good)</v>
      </c>
      <c r="K299" s="1"/>
    </row>
    <row r="300" spans="1:11" x14ac:dyDescent="0.35">
      <c r="A300" t="s">
        <v>1894</v>
      </c>
      <c r="B300" t="s">
        <v>764</v>
      </c>
      <c r="C300">
        <v>36826</v>
      </c>
      <c r="D300">
        <v>411</v>
      </c>
      <c r="E300">
        <v>42692</v>
      </c>
      <c r="F300">
        <v>36</v>
      </c>
      <c r="G300">
        <v>25</v>
      </c>
      <c r="H300" t="b">
        <v>0</v>
      </c>
      <c r="I300">
        <f t="shared" si="8"/>
        <v>0</v>
      </c>
      <c r="J300" t="str">
        <f t="shared" si="9"/>
        <v>300-450 (Poor)</v>
      </c>
      <c r="K300" s="1"/>
    </row>
    <row r="301" spans="1:11" x14ac:dyDescent="0.35">
      <c r="A301" t="s">
        <v>669</v>
      </c>
      <c r="B301" t="s">
        <v>670</v>
      </c>
      <c r="C301">
        <v>86498</v>
      </c>
      <c r="D301">
        <v>654</v>
      </c>
      <c r="E301">
        <v>42677</v>
      </c>
      <c r="F301">
        <v>0</v>
      </c>
      <c r="G301">
        <v>40</v>
      </c>
      <c r="H301" t="b">
        <v>0</v>
      </c>
      <c r="I301">
        <f t="shared" si="8"/>
        <v>0</v>
      </c>
      <c r="J301" t="str">
        <f t="shared" si="9"/>
        <v>601-750 (Good)</v>
      </c>
      <c r="K301" s="1"/>
    </row>
    <row r="302" spans="1:11" x14ac:dyDescent="0.35">
      <c r="A302" t="s">
        <v>1993</v>
      </c>
      <c r="B302" t="s">
        <v>1994</v>
      </c>
      <c r="C302">
        <v>138864</v>
      </c>
      <c r="D302">
        <v>612</v>
      </c>
      <c r="E302">
        <v>42656</v>
      </c>
      <c r="F302">
        <v>5</v>
      </c>
      <c r="G302">
        <v>60</v>
      </c>
      <c r="H302" t="b">
        <v>1</v>
      </c>
      <c r="I302">
        <f t="shared" si="8"/>
        <v>1</v>
      </c>
      <c r="J302" t="str">
        <f t="shared" si="9"/>
        <v>601-750 (Good)</v>
      </c>
      <c r="K302" s="1"/>
    </row>
    <row r="303" spans="1:11" x14ac:dyDescent="0.35">
      <c r="A303" t="s">
        <v>1871</v>
      </c>
      <c r="B303" t="s">
        <v>1045</v>
      </c>
      <c r="C303">
        <v>79692</v>
      </c>
      <c r="D303">
        <v>759</v>
      </c>
      <c r="E303">
        <v>42654</v>
      </c>
      <c r="F303">
        <v>12</v>
      </c>
      <c r="G303">
        <v>75</v>
      </c>
      <c r="H303" t="b">
        <v>1</v>
      </c>
      <c r="I303">
        <f t="shared" si="8"/>
        <v>1</v>
      </c>
      <c r="J303" t="str">
        <f t="shared" si="9"/>
        <v>751-850 (Excellent)</v>
      </c>
      <c r="K303" s="1"/>
    </row>
    <row r="304" spans="1:11" x14ac:dyDescent="0.35">
      <c r="A304" t="s">
        <v>243</v>
      </c>
      <c r="B304" t="s">
        <v>244</v>
      </c>
      <c r="C304">
        <v>79735</v>
      </c>
      <c r="D304">
        <v>364</v>
      </c>
      <c r="E304">
        <v>42641</v>
      </c>
      <c r="F304">
        <v>29</v>
      </c>
      <c r="G304">
        <v>40</v>
      </c>
      <c r="H304" t="b">
        <v>0</v>
      </c>
      <c r="I304">
        <f t="shared" si="8"/>
        <v>0</v>
      </c>
      <c r="J304" t="str">
        <f t="shared" si="9"/>
        <v>300-450 (Poor)</v>
      </c>
      <c r="K304" s="1"/>
    </row>
    <row r="305" spans="1:11" x14ac:dyDescent="0.35">
      <c r="A305" t="s">
        <v>2549</v>
      </c>
      <c r="B305" t="s">
        <v>2550</v>
      </c>
      <c r="C305">
        <v>107993</v>
      </c>
      <c r="D305">
        <v>477</v>
      </c>
      <c r="E305">
        <v>42635</v>
      </c>
      <c r="F305">
        <v>0</v>
      </c>
      <c r="G305">
        <v>35</v>
      </c>
      <c r="H305" t="b">
        <v>0</v>
      </c>
      <c r="I305">
        <f t="shared" si="8"/>
        <v>0</v>
      </c>
      <c r="J305" t="str">
        <f t="shared" si="9"/>
        <v>451-600 (Fair)</v>
      </c>
      <c r="K305" s="1"/>
    </row>
    <row r="306" spans="1:11" x14ac:dyDescent="0.35">
      <c r="A306" t="s">
        <v>3097</v>
      </c>
      <c r="B306" t="s">
        <v>3098</v>
      </c>
      <c r="C306">
        <v>36028</v>
      </c>
      <c r="D306">
        <v>789</v>
      </c>
      <c r="E306">
        <v>42629</v>
      </c>
      <c r="F306">
        <v>39</v>
      </c>
      <c r="G306">
        <v>60</v>
      </c>
      <c r="H306" t="b">
        <v>1</v>
      </c>
      <c r="I306">
        <f t="shared" si="8"/>
        <v>1</v>
      </c>
      <c r="J306" t="str">
        <f t="shared" si="9"/>
        <v>751-850 (Excellent)</v>
      </c>
      <c r="K306" s="1"/>
    </row>
    <row r="307" spans="1:11" x14ac:dyDescent="0.35">
      <c r="A307" t="s">
        <v>910</v>
      </c>
      <c r="B307" t="s">
        <v>911</v>
      </c>
      <c r="C307">
        <v>123872</v>
      </c>
      <c r="D307">
        <v>602</v>
      </c>
      <c r="E307">
        <v>42552</v>
      </c>
      <c r="F307">
        <v>9</v>
      </c>
      <c r="G307">
        <v>60</v>
      </c>
      <c r="H307" t="b">
        <v>1</v>
      </c>
      <c r="I307">
        <f t="shared" si="8"/>
        <v>1</v>
      </c>
      <c r="J307" t="str">
        <f t="shared" si="9"/>
        <v>601-750 (Good)</v>
      </c>
      <c r="K307" s="1"/>
    </row>
    <row r="308" spans="1:11" x14ac:dyDescent="0.35">
      <c r="A308" t="s">
        <v>219</v>
      </c>
      <c r="B308" t="s">
        <v>220</v>
      </c>
      <c r="C308">
        <v>121988</v>
      </c>
      <c r="D308">
        <v>400</v>
      </c>
      <c r="E308">
        <v>42533</v>
      </c>
      <c r="F308">
        <v>6</v>
      </c>
      <c r="G308">
        <v>45</v>
      </c>
      <c r="H308" t="b">
        <v>0</v>
      </c>
      <c r="I308">
        <f t="shared" si="8"/>
        <v>0</v>
      </c>
      <c r="J308" t="str">
        <f t="shared" si="9"/>
        <v>300-450 (Poor)</v>
      </c>
      <c r="K308" s="1"/>
    </row>
    <row r="309" spans="1:11" x14ac:dyDescent="0.35">
      <c r="A309" t="s">
        <v>2198</v>
      </c>
      <c r="B309" t="s">
        <v>2199</v>
      </c>
      <c r="C309">
        <v>133931</v>
      </c>
      <c r="D309">
        <v>621</v>
      </c>
      <c r="E309">
        <v>42520</v>
      </c>
      <c r="F309">
        <v>28</v>
      </c>
      <c r="G309">
        <v>65</v>
      </c>
      <c r="H309" t="b">
        <v>1</v>
      </c>
      <c r="I309">
        <f t="shared" si="8"/>
        <v>1</v>
      </c>
      <c r="J309" t="str">
        <f t="shared" si="9"/>
        <v>601-750 (Good)</v>
      </c>
      <c r="K309" s="1"/>
    </row>
    <row r="310" spans="1:11" x14ac:dyDescent="0.35">
      <c r="A310" t="s">
        <v>3872</v>
      </c>
      <c r="B310" t="s">
        <v>3873</v>
      </c>
      <c r="C310">
        <v>42463</v>
      </c>
      <c r="D310">
        <v>765</v>
      </c>
      <c r="E310">
        <v>42357</v>
      </c>
      <c r="F310">
        <v>33</v>
      </c>
      <c r="G310">
        <v>60</v>
      </c>
      <c r="H310" t="b">
        <v>1</v>
      </c>
      <c r="I310">
        <f t="shared" si="8"/>
        <v>1</v>
      </c>
      <c r="J310" t="str">
        <f t="shared" si="9"/>
        <v>751-850 (Excellent)</v>
      </c>
      <c r="K310" s="1"/>
    </row>
    <row r="311" spans="1:11" x14ac:dyDescent="0.35">
      <c r="A311" t="s">
        <v>799</v>
      </c>
      <c r="B311" t="s">
        <v>800</v>
      </c>
      <c r="C311">
        <v>121303</v>
      </c>
      <c r="D311">
        <v>640</v>
      </c>
      <c r="E311">
        <v>42355</v>
      </c>
      <c r="F311">
        <v>11</v>
      </c>
      <c r="G311">
        <v>65</v>
      </c>
      <c r="H311" t="b">
        <v>1</v>
      </c>
      <c r="I311">
        <f t="shared" si="8"/>
        <v>1</v>
      </c>
      <c r="J311" t="str">
        <f t="shared" si="9"/>
        <v>601-750 (Good)</v>
      </c>
      <c r="K311" s="1"/>
    </row>
    <row r="312" spans="1:11" x14ac:dyDescent="0.35">
      <c r="A312" t="s">
        <v>1886</v>
      </c>
      <c r="B312" t="s">
        <v>1887</v>
      </c>
      <c r="C312">
        <v>91644</v>
      </c>
      <c r="D312">
        <v>670</v>
      </c>
      <c r="E312">
        <v>42350</v>
      </c>
      <c r="F312">
        <v>1</v>
      </c>
      <c r="G312">
        <v>50</v>
      </c>
      <c r="H312" t="b">
        <v>0</v>
      </c>
      <c r="I312">
        <f t="shared" si="8"/>
        <v>0</v>
      </c>
      <c r="J312" t="str">
        <f t="shared" si="9"/>
        <v>601-750 (Good)</v>
      </c>
      <c r="K312" s="1"/>
    </row>
    <row r="313" spans="1:11" x14ac:dyDescent="0.35">
      <c r="A313" t="s">
        <v>315</v>
      </c>
      <c r="B313" t="s">
        <v>316</v>
      </c>
      <c r="C313">
        <v>48301</v>
      </c>
      <c r="D313">
        <v>353</v>
      </c>
      <c r="E313">
        <v>42345</v>
      </c>
      <c r="F313">
        <v>21</v>
      </c>
      <c r="G313">
        <v>25</v>
      </c>
      <c r="H313" t="b">
        <v>0</v>
      </c>
      <c r="I313">
        <f t="shared" si="8"/>
        <v>0</v>
      </c>
      <c r="J313" t="str">
        <f t="shared" si="9"/>
        <v>300-450 (Poor)</v>
      </c>
      <c r="K313" s="1"/>
    </row>
    <row r="314" spans="1:11" x14ac:dyDescent="0.35">
      <c r="A314" t="s">
        <v>3219</v>
      </c>
      <c r="B314" t="s">
        <v>3220</v>
      </c>
      <c r="C314">
        <v>79986</v>
      </c>
      <c r="D314">
        <v>523</v>
      </c>
      <c r="E314">
        <v>42331</v>
      </c>
      <c r="F314">
        <v>33</v>
      </c>
      <c r="G314">
        <v>40</v>
      </c>
      <c r="H314" t="b">
        <v>0</v>
      </c>
      <c r="I314">
        <f t="shared" si="8"/>
        <v>0</v>
      </c>
      <c r="J314" t="str">
        <f t="shared" si="9"/>
        <v>451-600 (Fair)</v>
      </c>
      <c r="K314" s="1"/>
    </row>
    <row r="315" spans="1:11" x14ac:dyDescent="0.35">
      <c r="A315" t="s">
        <v>1318</v>
      </c>
      <c r="B315" t="s">
        <v>1319</v>
      </c>
      <c r="C315">
        <v>45157</v>
      </c>
      <c r="D315">
        <v>409</v>
      </c>
      <c r="E315">
        <v>42328</v>
      </c>
      <c r="F315">
        <v>22</v>
      </c>
      <c r="G315">
        <v>25</v>
      </c>
      <c r="H315" t="b">
        <v>0</v>
      </c>
      <c r="I315">
        <f t="shared" si="8"/>
        <v>0</v>
      </c>
      <c r="J315" t="str">
        <f t="shared" si="9"/>
        <v>300-450 (Poor)</v>
      </c>
      <c r="K315" s="1"/>
    </row>
    <row r="316" spans="1:11" x14ac:dyDescent="0.35">
      <c r="A316" t="s">
        <v>1615</v>
      </c>
      <c r="B316" t="s">
        <v>1616</v>
      </c>
      <c r="C316">
        <v>110301</v>
      </c>
      <c r="D316">
        <v>405</v>
      </c>
      <c r="E316">
        <v>42314</v>
      </c>
      <c r="F316">
        <v>27</v>
      </c>
      <c r="G316">
        <v>50</v>
      </c>
      <c r="H316" t="b">
        <v>0</v>
      </c>
      <c r="I316">
        <f t="shared" si="8"/>
        <v>0</v>
      </c>
      <c r="J316" t="str">
        <f t="shared" si="9"/>
        <v>300-450 (Poor)</v>
      </c>
      <c r="K316" s="1"/>
    </row>
    <row r="317" spans="1:11" x14ac:dyDescent="0.35">
      <c r="A317" t="s">
        <v>2463</v>
      </c>
      <c r="B317" t="s">
        <v>2157</v>
      </c>
      <c r="C317">
        <v>52782</v>
      </c>
      <c r="D317">
        <v>801</v>
      </c>
      <c r="E317">
        <v>42289</v>
      </c>
      <c r="F317">
        <v>25</v>
      </c>
      <c r="G317">
        <v>75</v>
      </c>
      <c r="H317" t="b">
        <v>1</v>
      </c>
      <c r="I317">
        <f t="shared" si="8"/>
        <v>1</v>
      </c>
      <c r="J317" t="str">
        <f t="shared" si="9"/>
        <v>751-850 (Excellent)</v>
      </c>
      <c r="K317" s="1"/>
    </row>
    <row r="318" spans="1:11" x14ac:dyDescent="0.35">
      <c r="A318" t="s">
        <v>1865</v>
      </c>
      <c r="B318" t="s">
        <v>1866</v>
      </c>
      <c r="C318">
        <v>74236</v>
      </c>
      <c r="D318">
        <v>752</v>
      </c>
      <c r="E318">
        <v>42273</v>
      </c>
      <c r="F318">
        <v>0</v>
      </c>
      <c r="G318">
        <v>55</v>
      </c>
      <c r="H318" t="b">
        <v>0</v>
      </c>
      <c r="I318">
        <f t="shared" si="8"/>
        <v>0</v>
      </c>
      <c r="J318" t="str">
        <f t="shared" si="9"/>
        <v>751-850 (Excellent)</v>
      </c>
      <c r="K318" s="1"/>
    </row>
    <row r="319" spans="1:11" x14ac:dyDescent="0.35">
      <c r="A319" t="s">
        <v>578</v>
      </c>
      <c r="B319" t="s">
        <v>579</v>
      </c>
      <c r="C319">
        <v>89177</v>
      </c>
      <c r="D319">
        <v>714</v>
      </c>
      <c r="E319">
        <v>42271</v>
      </c>
      <c r="F319">
        <v>11</v>
      </c>
      <c r="G319">
        <v>65</v>
      </c>
      <c r="H319" t="b">
        <v>1</v>
      </c>
      <c r="I319">
        <f t="shared" si="8"/>
        <v>1</v>
      </c>
      <c r="J319" t="str">
        <f t="shared" si="9"/>
        <v>601-750 (Good)</v>
      </c>
      <c r="K319" s="1"/>
    </row>
    <row r="320" spans="1:11" x14ac:dyDescent="0.35">
      <c r="A320" t="s">
        <v>3363</v>
      </c>
      <c r="B320" t="s">
        <v>3364</v>
      </c>
      <c r="C320">
        <v>149732</v>
      </c>
      <c r="D320">
        <v>504</v>
      </c>
      <c r="E320">
        <v>42212</v>
      </c>
      <c r="F320">
        <v>25</v>
      </c>
      <c r="G320">
        <v>50</v>
      </c>
      <c r="H320" t="b">
        <v>0</v>
      </c>
      <c r="I320">
        <f t="shared" si="8"/>
        <v>0</v>
      </c>
      <c r="J320" t="str">
        <f t="shared" si="9"/>
        <v>451-600 (Fair)</v>
      </c>
      <c r="K320" s="1"/>
    </row>
    <row r="321" spans="1:11" x14ac:dyDescent="0.35">
      <c r="A321" t="s">
        <v>1825</v>
      </c>
      <c r="B321" t="s">
        <v>1826</v>
      </c>
      <c r="C321">
        <v>148872</v>
      </c>
      <c r="D321">
        <v>580</v>
      </c>
      <c r="E321">
        <v>42162</v>
      </c>
      <c r="F321">
        <v>34</v>
      </c>
      <c r="G321">
        <v>65</v>
      </c>
      <c r="H321" t="b">
        <v>1</v>
      </c>
      <c r="I321">
        <f t="shared" si="8"/>
        <v>1</v>
      </c>
      <c r="J321" t="str">
        <f t="shared" si="9"/>
        <v>451-600 (Fair)</v>
      </c>
      <c r="K321" s="1"/>
    </row>
    <row r="322" spans="1:11" x14ac:dyDescent="0.35">
      <c r="A322" t="s">
        <v>631</v>
      </c>
      <c r="B322" t="s">
        <v>632</v>
      </c>
      <c r="C322">
        <v>117684</v>
      </c>
      <c r="D322">
        <v>518</v>
      </c>
      <c r="E322">
        <v>42161</v>
      </c>
      <c r="F322">
        <v>9</v>
      </c>
      <c r="G322">
        <v>45</v>
      </c>
      <c r="H322" t="b">
        <v>0</v>
      </c>
      <c r="I322">
        <f t="shared" si="8"/>
        <v>0</v>
      </c>
      <c r="J322" t="str">
        <f t="shared" si="9"/>
        <v>451-600 (Fair)</v>
      </c>
      <c r="K322" s="1"/>
    </row>
    <row r="323" spans="1:11" x14ac:dyDescent="0.35">
      <c r="A323" t="s">
        <v>2844</v>
      </c>
      <c r="B323" t="s">
        <v>2845</v>
      </c>
      <c r="C323">
        <v>96616</v>
      </c>
      <c r="D323">
        <v>709</v>
      </c>
      <c r="E323">
        <v>42107</v>
      </c>
      <c r="F323">
        <v>36</v>
      </c>
      <c r="G323">
        <v>65</v>
      </c>
      <c r="H323" t="b">
        <v>1</v>
      </c>
      <c r="I323">
        <f t="shared" si="8"/>
        <v>1</v>
      </c>
      <c r="J323" t="str">
        <f t="shared" si="9"/>
        <v>601-750 (Good)</v>
      </c>
      <c r="K323" s="1"/>
    </row>
    <row r="324" spans="1:11" x14ac:dyDescent="0.35">
      <c r="A324" t="s">
        <v>749</v>
      </c>
      <c r="B324" t="s">
        <v>750</v>
      </c>
      <c r="C324">
        <v>139579</v>
      </c>
      <c r="D324">
        <v>506</v>
      </c>
      <c r="E324">
        <v>42105</v>
      </c>
      <c r="F324">
        <v>9</v>
      </c>
      <c r="G324">
        <v>45</v>
      </c>
      <c r="H324" t="b">
        <v>0</v>
      </c>
      <c r="I324">
        <f t="shared" ref="I324:I387" si="10">--H324</f>
        <v>0</v>
      </c>
      <c r="J324" t="str">
        <f t="shared" ref="J324:J387" si="11">IF(D324&gt;750, "751-850 (Excellent)", IF(D324&gt;600, "601-750 (Good)", IF(D324&gt;450, "451-600 (Fair)", "300-450 (Poor)")))</f>
        <v>451-600 (Fair)</v>
      </c>
      <c r="K324" s="1"/>
    </row>
    <row r="325" spans="1:11" x14ac:dyDescent="0.35">
      <c r="A325" t="s">
        <v>3711</v>
      </c>
      <c r="B325" t="s">
        <v>3712</v>
      </c>
      <c r="C325">
        <v>127218</v>
      </c>
      <c r="D325">
        <v>638</v>
      </c>
      <c r="E325">
        <v>42080</v>
      </c>
      <c r="F325">
        <v>37</v>
      </c>
      <c r="G325">
        <v>65</v>
      </c>
      <c r="H325" t="b">
        <v>1</v>
      </c>
      <c r="I325">
        <f t="shared" si="10"/>
        <v>1</v>
      </c>
      <c r="J325" t="str">
        <f t="shared" si="11"/>
        <v>601-750 (Good)</v>
      </c>
      <c r="K325" s="1"/>
    </row>
    <row r="326" spans="1:11" x14ac:dyDescent="0.35">
      <c r="A326" t="s">
        <v>2061</v>
      </c>
      <c r="B326" t="s">
        <v>2062</v>
      </c>
      <c r="C326">
        <v>90258</v>
      </c>
      <c r="D326">
        <v>563</v>
      </c>
      <c r="E326">
        <v>42040</v>
      </c>
      <c r="F326">
        <v>40</v>
      </c>
      <c r="G326">
        <v>40</v>
      </c>
      <c r="H326" t="b">
        <v>0</v>
      </c>
      <c r="I326">
        <f t="shared" si="10"/>
        <v>0</v>
      </c>
      <c r="J326" t="str">
        <f t="shared" si="11"/>
        <v>451-600 (Fair)</v>
      </c>
      <c r="K326" s="1"/>
    </row>
    <row r="327" spans="1:11" x14ac:dyDescent="0.35">
      <c r="A327" t="s">
        <v>3557</v>
      </c>
      <c r="B327" t="s">
        <v>3558</v>
      </c>
      <c r="C327">
        <v>120476</v>
      </c>
      <c r="D327">
        <v>762</v>
      </c>
      <c r="E327">
        <v>42029</v>
      </c>
      <c r="F327">
        <v>34</v>
      </c>
      <c r="G327">
        <v>85</v>
      </c>
      <c r="H327" t="b">
        <v>1</v>
      </c>
      <c r="I327">
        <f t="shared" si="10"/>
        <v>1</v>
      </c>
      <c r="J327" t="str">
        <f t="shared" si="11"/>
        <v>751-850 (Excellent)</v>
      </c>
      <c r="K327" s="1"/>
    </row>
    <row r="328" spans="1:11" x14ac:dyDescent="0.35">
      <c r="A328" t="s">
        <v>177</v>
      </c>
      <c r="B328" t="s">
        <v>178</v>
      </c>
      <c r="C328">
        <v>116673</v>
      </c>
      <c r="D328">
        <v>512</v>
      </c>
      <c r="E328">
        <v>41993</v>
      </c>
      <c r="F328">
        <v>13</v>
      </c>
      <c r="G328">
        <v>50</v>
      </c>
      <c r="H328" t="b">
        <v>0</v>
      </c>
      <c r="I328">
        <f t="shared" si="10"/>
        <v>0</v>
      </c>
      <c r="J328" t="str">
        <f t="shared" si="11"/>
        <v>451-600 (Fair)</v>
      </c>
      <c r="K328" s="1"/>
    </row>
    <row r="329" spans="1:11" x14ac:dyDescent="0.35">
      <c r="A329" t="s">
        <v>1195</v>
      </c>
      <c r="B329" t="s">
        <v>951</v>
      </c>
      <c r="C329">
        <v>135150</v>
      </c>
      <c r="D329">
        <v>776</v>
      </c>
      <c r="E329">
        <v>41990</v>
      </c>
      <c r="F329">
        <v>7</v>
      </c>
      <c r="G329">
        <v>80</v>
      </c>
      <c r="H329" t="b">
        <v>1</v>
      </c>
      <c r="I329">
        <f t="shared" si="10"/>
        <v>1</v>
      </c>
      <c r="J329" t="str">
        <f t="shared" si="11"/>
        <v>751-850 (Excellent)</v>
      </c>
      <c r="K329" s="1"/>
    </row>
    <row r="330" spans="1:11" x14ac:dyDescent="0.35">
      <c r="A330" t="s">
        <v>197</v>
      </c>
      <c r="B330" t="s">
        <v>198</v>
      </c>
      <c r="C330">
        <v>66434</v>
      </c>
      <c r="D330">
        <v>810</v>
      </c>
      <c r="E330">
        <v>41986</v>
      </c>
      <c r="F330">
        <v>28</v>
      </c>
      <c r="G330">
        <v>75</v>
      </c>
      <c r="H330" t="b">
        <v>1</v>
      </c>
      <c r="I330">
        <f t="shared" si="10"/>
        <v>1</v>
      </c>
      <c r="J330" t="str">
        <f t="shared" si="11"/>
        <v>751-850 (Excellent)</v>
      </c>
      <c r="K330" s="1"/>
    </row>
    <row r="331" spans="1:11" x14ac:dyDescent="0.35">
      <c r="A331" t="s">
        <v>2537</v>
      </c>
      <c r="B331" t="s">
        <v>2538</v>
      </c>
      <c r="C331">
        <v>48643</v>
      </c>
      <c r="D331">
        <v>580</v>
      </c>
      <c r="E331">
        <v>41977</v>
      </c>
      <c r="F331">
        <v>3</v>
      </c>
      <c r="G331">
        <v>30</v>
      </c>
      <c r="H331" t="b">
        <v>0</v>
      </c>
      <c r="I331">
        <f t="shared" si="10"/>
        <v>0</v>
      </c>
      <c r="J331" t="str">
        <f t="shared" si="11"/>
        <v>451-600 (Fair)</v>
      </c>
      <c r="K331" s="1"/>
    </row>
    <row r="332" spans="1:11" x14ac:dyDescent="0.35">
      <c r="A332" t="s">
        <v>1487</v>
      </c>
      <c r="B332" t="s">
        <v>1488</v>
      </c>
      <c r="C332">
        <v>73933</v>
      </c>
      <c r="D332">
        <v>327</v>
      </c>
      <c r="E332">
        <v>41970</v>
      </c>
      <c r="F332">
        <v>21</v>
      </c>
      <c r="G332">
        <v>35</v>
      </c>
      <c r="H332" t="b">
        <v>0</v>
      </c>
      <c r="I332">
        <f t="shared" si="10"/>
        <v>0</v>
      </c>
      <c r="J332" t="str">
        <f t="shared" si="11"/>
        <v>300-450 (Poor)</v>
      </c>
      <c r="K332" s="1"/>
    </row>
    <row r="333" spans="1:11" x14ac:dyDescent="0.35">
      <c r="A333" t="s">
        <v>181</v>
      </c>
      <c r="B333" t="s">
        <v>182</v>
      </c>
      <c r="C333">
        <v>131327</v>
      </c>
      <c r="D333">
        <v>570</v>
      </c>
      <c r="E333">
        <v>41963</v>
      </c>
      <c r="F333">
        <v>37</v>
      </c>
      <c r="G333">
        <v>50</v>
      </c>
      <c r="H333" t="b">
        <v>0</v>
      </c>
      <c r="I333">
        <f t="shared" si="10"/>
        <v>0</v>
      </c>
      <c r="J333" t="str">
        <f t="shared" si="11"/>
        <v>451-600 (Fair)</v>
      </c>
      <c r="K333" s="1"/>
    </row>
    <row r="334" spans="1:11" x14ac:dyDescent="0.35">
      <c r="A334" t="s">
        <v>3421</v>
      </c>
      <c r="B334" t="s">
        <v>3422</v>
      </c>
      <c r="C334">
        <v>133636</v>
      </c>
      <c r="D334">
        <v>340</v>
      </c>
      <c r="E334">
        <v>41961</v>
      </c>
      <c r="F334">
        <v>30</v>
      </c>
      <c r="G334">
        <v>50</v>
      </c>
      <c r="H334" t="b">
        <v>0</v>
      </c>
      <c r="I334">
        <f t="shared" si="10"/>
        <v>0</v>
      </c>
      <c r="J334" t="str">
        <f t="shared" si="11"/>
        <v>300-450 (Poor)</v>
      </c>
      <c r="K334" s="1"/>
    </row>
    <row r="335" spans="1:11" x14ac:dyDescent="0.35">
      <c r="A335" t="s">
        <v>2085</v>
      </c>
      <c r="B335" t="s">
        <v>2086</v>
      </c>
      <c r="C335">
        <v>131533</v>
      </c>
      <c r="D335">
        <v>608</v>
      </c>
      <c r="E335">
        <v>41944</v>
      </c>
      <c r="F335">
        <v>18</v>
      </c>
      <c r="G335">
        <v>65</v>
      </c>
      <c r="H335" t="b">
        <v>1</v>
      </c>
      <c r="I335">
        <f t="shared" si="10"/>
        <v>1</v>
      </c>
      <c r="J335" t="str">
        <f t="shared" si="11"/>
        <v>601-750 (Good)</v>
      </c>
      <c r="K335" s="1"/>
    </row>
    <row r="336" spans="1:11" x14ac:dyDescent="0.35">
      <c r="A336" t="s">
        <v>2519</v>
      </c>
      <c r="B336" t="s">
        <v>2520</v>
      </c>
      <c r="C336">
        <v>55928</v>
      </c>
      <c r="D336">
        <v>676</v>
      </c>
      <c r="E336">
        <v>41927</v>
      </c>
      <c r="F336">
        <v>25</v>
      </c>
      <c r="G336">
        <v>60</v>
      </c>
      <c r="H336" t="b">
        <v>1</v>
      </c>
      <c r="I336">
        <f t="shared" si="10"/>
        <v>1</v>
      </c>
      <c r="J336" t="str">
        <f t="shared" si="11"/>
        <v>601-750 (Good)</v>
      </c>
      <c r="K336" s="1"/>
    </row>
    <row r="337" spans="1:11" x14ac:dyDescent="0.35">
      <c r="A337" t="s">
        <v>2629</v>
      </c>
      <c r="B337" t="s">
        <v>2630</v>
      </c>
      <c r="C337">
        <v>129125</v>
      </c>
      <c r="D337">
        <v>470</v>
      </c>
      <c r="E337">
        <v>41911</v>
      </c>
      <c r="F337">
        <v>22</v>
      </c>
      <c r="G337">
        <v>50</v>
      </c>
      <c r="H337" t="b">
        <v>0</v>
      </c>
      <c r="I337">
        <f t="shared" si="10"/>
        <v>0</v>
      </c>
      <c r="J337" t="str">
        <f t="shared" si="11"/>
        <v>451-600 (Fair)</v>
      </c>
      <c r="K337" s="1"/>
    </row>
    <row r="338" spans="1:11" x14ac:dyDescent="0.35">
      <c r="A338" t="s">
        <v>215</v>
      </c>
      <c r="B338" t="s">
        <v>216</v>
      </c>
      <c r="C338">
        <v>117841</v>
      </c>
      <c r="D338">
        <v>646</v>
      </c>
      <c r="E338">
        <v>41845</v>
      </c>
      <c r="F338">
        <v>25</v>
      </c>
      <c r="G338">
        <v>65</v>
      </c>
      <c r="H338" t="b">
        <v>1</v>
      </c>
      <c r="I338">
        <f t="shared" si="10"/>
        <v>1</v>
      </c>
      <c r="J338" t="str">
        <f t="shared" si="11"/>
        <v>601-750 (Good)</v>
      </c>
      <c r="K338" s="1"/>
    </row>
    <row r="339" spans="1:11" x14ac:dyDescent="0.35">
      <c r="A339" t="s">
        <v>956</v>
      </c>
      <c r="B339" t="s">
        <v>957</v>
      </c>
      <c r="C339">
        <v>47361</v>
      </c>
      <c r="D339">
        <v>486</v>
      </c>
      <c r="E339">
        <v>41842</v>
      </c>
      <c r="F339">
        <v>32</v>
      </c>
      <c r="G339">
        <v>25</v>
      </c>
      <c r="H339" t="b">
        <v>0</v>
      </c>
      <c r="I339">
        <f t="shared" si="10"/>
        <v>0</v>
      </c>
      <c r="J339" t="str">
        <f t="shared" si="11"/>
        <v>451-600 (Fair)</v>
      </c>
      <c r="K339" s="1"/>
    </row>
    <row r="340" spans="1:11" x14ac:dyDescent="0.35">
      <c r="A340" t="s">
        <v>105</v>
      </c>
      <c r="B340" t="s">
        <v>106</v>
      </c>
      <c r="C340">
        <v>74597</v>
      </c>
      <c r="D340">
        <v>638</v>
      </c>
      <c r="E340">
        <v>41839</v>
      </c>
      <c r="F340">
        <v>20</v>
      </c>
      <c r="G340">
        <v>50</v>
      </c>
      <c r="H340" t="b">
        <v>0</v>
      </c>
      <c r="I340">
        <f t="shared" si="10"/>
        <v>0</v>
      </c>
      <c r="J340" t="str">
        <f t="shared" si="11"/>
        <v>601-750 (Good)</v>
      </c>
      <c r="K340" s="1"/>
    </row>
    <row r="341" spans="1:11" x14ac:dyDescent="0.35">
      <c r="A341" t="s">
        <v>3242</v>
      </c>
      <c r="B341" t="s">
        <v>3243</v>
      </c>
      <c r="C341">
        <v>31061</v>
      </c>
      <c r="D341">
        <v>466</v>
      </c>
      <c r="E341">
        <v>41832</v>
      </c>
      <c r="F341">
        <v>30</v>
      </c>
      <c r="G341">
        <v>25</v>
      </c>
      <c r="H341" t="b">
        <v>0</v>
      </c>
      <c r="I341">
        <f t="shared" si="10"/>
        <v>0</v>
      </c>
      <c r="J341" t="str">
        <f t="shared" si="11"/>
        <v>451-600 (Fair)</v>
      </c>
      <c r="K341" s="1"/>
    </row>
    <row r="342" spans="1:11" x14ac:dyDescent="0.35">
      <c r="A342" t="s">
        <v>1621</v>
      </c>
      <c r="B342" t="s">
        <v>1622</v>
      </c>
      <c r="C342">
        <v>146918</v>
      </c>
      <c r="D342">
        <v>806</v>
      </c>
      <c r="E342">
        <v>41809</v>
      </c>
      <c r="F342">
        <v>22</v>
      </c>
      <c r="G342">
        <v>90</v>
      </c>
      <c r="H342" t="b">
        <v>1</v>
      </c>
      <c r="I342">
        <f t="shared" si="10"/>
        <v>1</v>
      </c>
      <c r="J342" t="str">
        <f t="shared" si="11"/>
        <v>751-850 (Excellent)</v>
      </c>
      <c r="K342" s="1"/>
    </row>
    <row r="343" spans="1:11" x14ac:dyDescent="0.35">
      <c r="A343" t="s">
        <v>3491</v>
      </c>
      <c r="B343" t="s">
        <v>3492</v>
      </c>
      <c r="C343">
        <v>83516</v>
      </c>
      <c r="D343">
        <v>717</v>
      </c>
      <c r="E343">
        <v>41777</v>
      </c>
      <c r="F343">
        <v>1</v>
      </c>
      <c r="G343">
        <v>50</v>
      </c>
      <c r="H343" t="b">
        <v>0</v>
      </c>
      <c r="I343">
        <f t="shared" si="10"/>
        <v>0</v>
      </c>
      <c r="J343" t="str">
        <f t="shared" si="11"/>
        <v>601-750 (Good)</v>
      </c>
      <c r="K343" s="1"/>
    </row>
    <row r="344" spans="1:11" x14ac:dyDescent="0.35">
      <c r="A344" t="s">
        <v>3413</v>
      </c>
      <c r="B344" t="s">
        <v>3414</v>
      </c>
      <c r="C344">
        <v>135458</v>
      </c>
      <c r="D344">
        <v>813</v>
      </c>
      <c r="E344">
        <v>41740</v>
      </c>
      <c r="F344">
        <v>2</v>
      </c>
      <c r="G344">
        <v>80</v>
      </c>
      <c r="H344" t="b">
        <v>1</v>
      </c>
      <c r="I344">
        <f t="shared" si="10"/>
        <v>1</v>
      </c>
      <c r="J344" t="str">
        <f t="shared" si="11"/>
        <v>751-850 (Excellent)</v>
      </c>
      <c r="K344" s="1"/>
    </row>
    <row r="345" spans="1:11" x14ac:dyDescent="0.35">
      <c r="A345" t="s">
        <v>3475</v>
      </c>
      <c r="B345" t="s">
        <v>3476</v>
      </c>
      <c r="C345">
        <v>114889</v>
      </c>
      <c r="D345">
        <v>446</v>
      </c>
      <c r="E345">
        <v>41709</v>
      </c>
      <c r="F345">
        <v>13</v>
      </c>
      <c r="G345">
        <v>50</v>
      </c>
      <c r="H345" t="b">
        <v>0</v>
      </c>
      <c r="I345">
        <f t="shared" si="10"/>
        <v>0</v>
      </c>
      <c r="J345" t="str">
        <f t="shared" si="11"/>
        <v>300-450 (Poor)</v>
      </c>
      <c r="K345" s="1"/>
    </row>
    <row r="346" spans="1:11" x14ac:dyDescent="0.35">
      <c r="A346" t="s">
        <v>3301</v>
      </c>
      <c r="B346" t="s">
        <v>3302</v>
      </c>
      <c r="C346">
        <v>119241</v>
      </c>
      <c r="D346">
        <v>318</v>
      </c>
      <c r="E346">
        <v>41654</v>
      </c>
      <c r="F346">
        <v>5</v>
      </c>
      <c r="G346">
        <v>45</v>
      </c>
      <c r="H346" t="b">
        <v>0</v>
      </c>
      <c r="I346">
        <f t="shared" si="10"/>
        <v>0</v>
      </c>
      <c r="J346" t="str">
        <f t="shared" si="11"/>
        <v>300-450 (Poor)</v>
      </c>
      <c r="K346" s="1"/>
    </row>
    <row r="347" spans="1:11" x14ac:dyDescent="0.35">
      <c r="A347" t="s">
        <v>1179</v>
      </c>
      <c r="B347" t="s">
        <v>1180</v>
      </c>
      <c r="C347">
        <v>145528</v>
      </c>
      <c r="D347">
        <v>584</v>
      </c>
      <c r="E347">
        <v>41616</v>
      </c>
      <c r="F347">
        <v>40</v>
      </c>
      <c r="G347">
        <v>65</v>
      </c>
      <c r="H347" t="b">
        <v>1</v>
      </c>
      <c r="I347">
        <f t="shared" si="10"/>
        <v>1</v>
      </c>
      <c r="J347" t="str">
        <f t="shared" si="11"/>
        <v>451-600 (Fair)</v>
      </c>
      <c r="K347" s="1"/>
    </row>
    <row r="348" spans="1:11" x14ac:dyDescent="0.35">
      <c r="A348" t="s">
        <v>1857</v>
      </c>
      <c r="B348" t="s">
        <v>1858</v>
      </c>
      <c r="C348">
        <v>72906</v>
      </c>
      <c r="D348">
        <v>549</v>
      </c>
      <c r="E348">
        <v>41616</v>
      </c>
      <c r="F348">
        <v>5</v>
      </c>
      <c r="G348">
        <v>30</v>
      </c>
      <c r="H348" t="b">
        <v>0</v>
      </c>
      <c r="I348">
        <f t="shared" si="10"/>
        <v>0</v>
      </c>
      <c r="J348" t="str">
        <f t="shared" si="11"/>
        <v>451-600 (Fair)</v>
      </c>
      <c r="K348" s="1"/>
    </row>
    <row r="349" spans="1:11" x14ac:dyDescent="0.35">
      <c r="A349" t="s">
        <v>223</v>
      </c>
      <c r="B349" t="s">
        <v>224</v>
      </c>
      <c r="C349">
        <v>114939</v>
      </c>
      <c r="D349">
        <v>691</v>
      </c>
      <c r="E349">
        <v>41613</v>
      </c>
      <c r="F349">
        <v>15</v>
      </c>
      <c r="G349">
        <v>75</v>
      </c>
      <c r="H349" t="b">
        <v>1</v>
      </c>
      <c r="I349">
        <f t="shared" si="10"/>
        <v>1</v>
      </c>
      <c r="J349" t="str">
        <f t="shared" si="11"/>
        <v>601-750 (Good)</v>
      </c>
      <c r="K349" s="1"/>
    </row>
    <row r="350" spans="1:11" x14ac:dyDescent="0.35">
      <c r="A350" t="s">
        <v>1296</v>
      </c>
      <c r="B350" t="s">
        <v>1297</v>
      </c>
      <c r="C350">
        <v>35014</v>
      </c>
      <c r="D350">
        <v>324</v>
      </c>
      <c r="E350">
        <v>41592</v>
      </c>
      <c r="F350">
        <v>5</v>
      </c>
      <c r="G350">
        <v>20</v>
      </c>
      <c r="H350" t="b">
        <v>0</v>
      </c>
      <c r="I350">
        <f t="shared" si="10"/>
        <v>0</v>
      </c>
      <c r="J350" t="str">
        <f t="shared" si="11"/>
        <v>300-450 (Poor)</v>
      </c>
      <c r="K350" s="1"/>
    </row>
    <row r="351" spans="1:11" x14ac:dyDescent="0.35">
      <c r="A351" t="s">
        <v>1326</v>
      </c>
      <c r="B351" t="s">
        <v>1327</v>
      </c>
      <c r="C351">
        <v>54914</v>
      </c>
      <c r="D351">
        <v>782</v>
      </c>
      <c r="E351">
        <v>41525</v>
      </c>
      <c r="F351">
        <v>2</v>
      </c>
      <c r="G351">
        <v>60</v>
      </c>
      <c r="H351" t="b">
        <v>1</v>
      </c>
      <c r="I351">
        <f t="shared" si="10"/>
        <v>1</v>
      </c>
      <c r="J351" t="str">
        <f t="shared" si="11"/>
        <v>751-850 (Excellent)</v>
      </c>
      <c r="K351" s="1"/>
    </row>
    <row r="352" spans="1:11" x14ac:dyDescent="0.35">
      <c r="A352" t="s">
        <v>2949</v>
      </c>
      <c r="B352" t="s">
        <v>2950</v>
      </c>
      <c r="C352">
        <v>79968</v>
      </c>
      <c r="D352">
        <v>845</v>
      </c>
      <c r="E352">
        <v>41520</v>
      </c>
      <c r="F352">
        <v>26</v>
      </c>
      <c r="G352">
        <v>80</v>
      </c>
      <c r="H352" t="b">
        <v>1</v>
      </c>
      <c r="I352">
        <f t="shared" si="10"/>
        <v>1</v>
      </c>
      <c r="J352" t="str">
        <f t="shared" si="11"/>
        <v>751-850 (Excellent)</v>
      </c>
      <c r="K352" s="1"/>
    </row>
    <row r="353" spans="1:11" x14ac:dyDescent="0.35">
      <c r="A353" t="s">
        <v>2025</v>
      </c>
      <c r="B353" t="s">
        <v>750</v>
      </c>
      <c r="C353">
        <v>75508</v>
      </c>
      <c r="D353">
        <v>553</v>
      </c>
      <c r="E353">
        <v>41475</v>
      </c>
      <c r="F353">
        <v>9</v>
      </c>
      <c r="G353">
        <v>35</v>
      </c>
      <c r="H353" t="b">
        <v>0</v>
      </c>
      <c r="I353">
        <f t="shared" si="10"/>
        <v>0</v>
      </c>
      <c r="J353" t="str">
        <f t="shared" si="11"/>
        <v>451-600 (Fair)</v>
      </c>
      <c r="K353" s="1"/>
    </row>
    <row r="354" spans="1:11" x14ac:dyDescent="0.35">
      <c r="A354" t="s">
        <v>217</v>
      </c>
      <c r="B354" t="s">
        <v>218</v>
      </c>
      <c r="C354">
        <v>64993</v>
      </c>
      <c r="D354">
        <v>336</v>
      </c>
      <c r="E354">
        <v>41465</v>
      </c>
      <c r="F354">
        <v>4</v>
      </c>
      <c r="G354">
        <v>25</v>
      </c>
      <c r="H354" t="b">
        <v>0</v>
      </c>
      <c r="I354">
        <f t="shared" si="10"/>
        <v>0</v>
      </c>
      <c r="J354" t="str">
        <f t="shared" si="11"/>
        <v>300-450 (Poor)</v>
      </c>
      <c r="K354" s="1"/>
    </row>
    <row r="355" spans="1:11" x14ac:dyDescent="0.35">
      <c r="A355" t="s">
        <v>1234</v>
      </c>
      <c r="B355" t="s">
        <v>1235</v>
      </c>
      <c r="C355">
        <v>75830</v>
      </c>
      <c r="D355">
        <v>447</v>
      </c>
      <c r="E355">
        <v>41431</v>
      </c>
      <c r="F355">
        <v>16</v>
      </c>
      <c r="G355">
        <v>40</v>
      </c>
      <c r="H355" t="b">
        <v>0</v>
      </c>
      <c r="I355">
        <f t="shared" si="10"/>
        <v>0</v>
      </c>
      <c r="J355" t="str">
        <f t="shared" si="11"/>
        <v>300-450 (Poor)</v>
      </c>
      <c r="K355" s="1"/>
    </row>
    <row r="356" spans="1:11" x14ac:dyDescent="0.35">
      <c r="A356" t="s">
        <v>3232</v>
      </c>
      <c r="B356" t="s">
        <v>3233</v>
      </c>
      <c r="C356">
        <v>32875</v>
      </c>
      <c r="D356">
        <v>650</v>
      </c>
      <c r="E356">
        <v>41422</v>
      </c>
      <c r="F356">
        <v>23</v>
      </c>
      <c r="G356">
        <v>40</v>
      </c>
      <c r="H356" t="b">
        <v>0</v>
      </c>
      <c r="I356">
        <f t="shared" si="10"/>
        <v>0</v>
      </c>
      <c r="J356" t="str">
        <f t="shared" si="11"/>
        <v>601-750 (Good)</v>
      </c>
      <c r="K356" s="1"/>
    </row>
    <row r="357" spans="1:11" x14ac:dyDescent="0.35">
      <c r="A357" t="s">
        <v>920</v>
      </c>
      <c r="B357" t="s">
        <v>921</v>
      </c>
      <c r="C357">
        <v>47154</v>
      </c>
      <c r="D357">
        <v>636</v>
      </c>
      <c r="E357">
        <v>41392</v>
      </c>
      <c r="F357">
        <v>19</v>
      </c>
      <c r="G357">
        <v>40</v>
      </c>
      <c r="H357" t="b">
        <v>0</v>
      </c>
      <c r="I357">
        <f t="shared" si="10"/>
        <v>0</v>
      </c>
      <c r="J357" t="str">
        <f t="shared" si="11"/>
        <v>601-750 (Good)</v>
      </c>
      <c r="K357" s="1"/>
    </row>
    <row r="358" spans="1:11" x14ac:dyDescent="0.35">
      <c r="A358" t="s">
        <v>2170</v>
      </c>
      <c r="B358" t="s">
        <v>2171</v>
      </c>
      <c r="C358">
        <v>41221</v>
      </c>
      <c r="D358">
        <v>316</v>
      </c>
      <c r="E358">
        <v>41387</v>
      </c>
      <c r="F358">
        <v>26</v>
      </c>
      <c r="G358">
        <v>25</v>
      </c>
      <c r="H358" t="b">
        <v>0</v>
      </c>
      <c r="I358">
        <f t="shared" si="10"/>
        <v>0</v>
      </c>
      <c r="J358" t="str">
        <f t="shared" si="11"/>
        <v>300-450 (Poor)</v>
      </c>
      <c r="K358" s="1"/>
    </row>
    <row r="359" spans="1:11" x14ac:dyDescent="0.35">
      <c r="A359" t="s">
        <v>2770</v>
      </c>
      <c r="B359" t="s">
        <v>2771</v>
      </c>
      <c r="C359">
        <v>112578</v>
      </c>
      <c r="D359">
        <v>589</v>
      </c>
      <c r="E359">
        <v>41305</v>
      </c>
      <c r="F359">
        <v>6</v>
      </c>
      <c r="G359">
        <v>60</v>
      </c>
      <c r="H359" t="b">
        <v>1</v>
      </c>
      <c r="I359">
        <f t="shared" si="10"/>
        <v>1</v>
      </c>
      <c r="J359" t="str">
        <f t="shared" si="11"/>
        <v>451-600 (Fair)</v>
      </c>
      <c r="K359" s="1"/>
    </row>
    <row r="360" spans="1:11" x14ac:dyDescent="0.35">
      <c r="A360" t="s">
        <v>586</v>
      </c>
      <c r="B360" t="s">
        <v>587</v>
      </c>
      <c r="C360">
        <v>38392</v>
      </c>
      <c r="D360">
        <v>604</v>
      </c>
      <c r="E360">
        <v>41270</v>
      </c>
      <c r="F360">
        <v>37</v>
      </c>
      <c r="G360">
        <v>40</v>
      </c>
      <c r="H360" t="b">
        <v>0</v>
      </c>
      <c r="I360">
        <f t="shared" si="10"/>
        <v>0</v>
      </c>
      <c r="J360" t="str">
        <f t="shared" si="11"/>
        <v>601-750 (Good)</v>
      </c>
      <c r="K360" s="1"/>
    </row>
    <row r="361" spans="1:11" x14ac:dyDescent="0.35">
      <c r="A361" t="s">
        <v>1727</v>
      </c>
      <c r="B361" t="s">
        <v>1728</v>
      </c>
      <c r="C361">
        <v>85069</v>
      </c>
      <c r="D361">
        <v>845</v>
      </c>
      <c r="E361">
        <v>41269</v>
      </c>
      <c r="F361">
        <v>16</v>
      </c>
      <c r="G361">
        <v>80</v>
      </c>
      <c r="H361" t="b">
        <v>1</v>
      </c>
      <c r="I361">
        <f t="shared" si="10"/>
        <v>1</v>
      </c>
      <c r="J361" t="str">
        <f t="shared" si="11"/>
        <v>751-850 (Excellent)</v>
      </c>
      <c r="K361" s="1"/>
    </row>
    <row r="362" spans="1:11" x14ac:dyDescent="0.35">
      <c r="A362" t="s">
        <v>2200</v>
      </c>
      <c r="B362" t="s">
        <v>2201</v>
      </c>
      <c r="C362">
        <v>32260</v>
      </c>
      <c r="D362">
        <v>795</v>
      </c>
      <c r="E362">
        <v>41239</v>
      </c>
      <c r="F362">
        <v>38</v>
      </c>
      <c r="G362">
        <v>60</v>
      </c>
      <c r="H362" t="b">
        <v>1</v>
      </c>
      <c r="I362">
        <f t="shared" si="10"/>
        <v>1</v>
      </c>
      <c r="J362" t="str">
        <f t="shared" si="11"/>
        <v>751-850 (Excellent)</v>
      </c>
      <c r="K362" s="1"/>
    </row>
    <row r="363" spans="1:11" x14ac:dyDescent="0.35">
      <c r="A363" t="s">
        <v>2474</v>
      </c>
      <c r="B363" t="s">
        <v>2475</v>
      </c>
      <c r="C363">
        <v>89048</v>
      </c>
      <c r="D363">
        <v>412</v>
      </c>
      <c r="E363">
        <v>41193</v>
      </c>
      <c r="F363">
        <v>39</v>
      </c>
      <c r="G363">
        <v>40</v>
      </c>
      <c r="H363" t="b">
        <v>0</v>
      </c>
      <c r="I363">
        <f t="shared" si="10"/>
        <v>0</v>
      </c>
      <c r="J363" t="str">
        <f t="shared" si="11"/>
        <v>300-450 (Poor)</v>
      </c>
      <c r="K363" s="1"/>
    </row>
    <row r="364" spans="1:11" x14ac:dyDescent="0.35">
      <c r="A364" t="s">
        <v>3798</v>
      </c>
      <c r="B364" t="s">
        <v>3799</v>
      </c>
      <c r="C364">
        <v>66046</v>
      </c>
      <c r="D364">
        <v>623</v>
      </c>
      <c r="E364">
        <v>41191</v>
      </c>
      <c r="F364">
        <v>4</v>
      </c>
      <c r="G364">
        <v>40</v>
      </c>
      <c r="H364" t="b">
        <v>0</v>
      </c>
      <c r="I364">
        <f t="shared" si="10"/>
        <v>0</v>
      </c>
      <c r="J364" t="str">
        <f t="shared" si="11"/>
        <v>601-750 (Good)</v>
      </c>
      <c r="K364" s="1"/>
    </row>
    <row r="365" spans="1:11" x14ac:dyDescent="0.35">
      <c r="A365" t="s">
        <v>1271</v>
      </c>
      <c r="B365" t="s">
        <v>1272</v>
      </c>
      <c r="C365">
        <v>96768</v>
      </c>
      <c r="D365">
        <v>619</v>
      </c>
      <c r="E365">
        <v>41176</v>
      </c>
      <c r="F365">
        <v>3</v>
      </c>
      <c r="G365">
        <v>45</v>
      </c>
      <c r="H365" t="b">
        <v>0</v>
      </c>
      <c r="I365">
        <f t="shared" si="10"/>
        <v>0</v>
      </c>
      <c r="J365" t="str">
        <f t="shared" si="11"/>
        <v>601-750 (Good)</v>
      </c>
      <c r="K365" s="1"/>
    </row>
    <row r="366" spans="1:11" x14ac:dyDescent="0.35">
      <c r="A366" t="s">
        <v>2317</v>
      </c>
      <c r="B366" t="s">
        <v>2318</v>
      </c>
      <c r="C366">
        <v>35965</v>
      </c>
      <c r="D366">
        <v>566</v>
      </c>
      <c r="E366">
        <v>41157</v>
      </c>
      <c r="F366">
        <v>28</v>
      </c>
      <c r="G366">
        <v>25</v>
      </c>
      <c r="H366" t="b">
        <v>0</v>
      </c>
      <c r="I366">
        <f t="shared" si="10"/>
        <v>0</v>
      </c>
      <c r="J366" t="str">
        <f t="shared" si="11"/>
        <v>451-600 (Fair)</v>
      </c>
      <c r="K366" s="1"/>
    </row>
    <row r="367" spans="1:11" x14ac:dyDescent="0.35">
      <c r="A367" t="s">
        <v>2229</v>
      </c>
      <c r="B367" t="s">
        <v>2230</v>
      </c>
      <c r="C367">
        <v>85771</v>
      </c>
      <c r="D367">
        <v>805</v>
      </c>
      <c r="E367">
        <v>41129</v>
      </c>
      <c r="F367">
        <v>3</v>
      </c>
      <c r="G367">
        <v>70</v>
      </c>
      <c r="H367" t="b">
        <v>1</v>
      </c>
      <c r="I367">
        <f t="shared" si="10"/>
        <v>1</v>
      </c>
      <c r="J367" t="str">
        <f t="shared" si="11"/>
        <v>751-850 (Excellent)</v>
      </c>
      <c r="K367" s="1"/>
    </row>
    <row r="368" spans="1:11" x14ac:dyDescent="0.35">
      <c r="A368" t="s">
        <v>382</v>
      </c>
      <c r="B368" t="s">
        <v>383</v>
      </c>
      <c r="C368">
        <v>99352</v>
      </c>
      <c r="D368">
        <v>432</v>
      </c>
      <c r="E368">
        <v>41104</v>
      </c>
      <c r="F368">
        <v>5</v>
      </c>
      <c r="G368">
        <v>35</v>
      </c>
      <c r="H368" t="b">
        <v>0</v>
      </c>
      <c r="I368">
        <f t="shared" si="10"/>
        <v>0</v>
      </c>
      <c r="J368" t="str">
        <f t="shared" si="11"/>
        <v>300-450 (Poor)</v>
      </c>
      <c r="K368" s="1"/>
    </row>
    <row r="369" spans="1:11" x14ac:dyDescent="0.35">
      <c r="A369" t="s">
        <v>426</v>
      </c>
      <c r="B369" t="s">
        <v>427</v>
      </c>
      <c r="C369">
        <v>124646</v>
      </c>
      <c r="D369">
        <v>813</v>
      </c>
      <c r="E369">
        <v>41073</v>
      </c>
      <c r="F369">
        <v>30</v>
      </c>
      <c r="G369">
        <v>90</v>
      </c>
      <c r="H369" t="b">
        <v>1</v>
      </c>
      <c r="I369">
        <f t="shared" si="10"/>
        <v>1</v>
      </c>
      <c r="J369" t="str">
        <f t="shared" si="11"/>
        <v>751-850 (Excellent)</v>
      </c>
      <c r="K369" s="1"/>
    </row>
    <row r="370" spans="1:11" x14ac:dyDescent="0.35">
      <c r="A370" t="s">
        <v>584</v>
      </c>
      <c r="B370" t="s">
        <v>585</v>
      </c>
      <c r="C370">
        <v>59451</v>
      </c>
      <c r="D370">
        <v>697</v>
      </c>
      <c r="E370">
        <v>41062</v>
      </c>
      <c r="F370">
        <v>25</v>
      </c>
      <c r="G370">
        <v>60</v>
      </c>
      <c r="H370" t="b">
        <v>1</v>
      </c>
      <c r="I370">
        <f t="shared" si="10"/>
        <v>1</v>
      </c>
      <c r="J370" t="str">
        <f t="shared" si="11"/>
        <v>601-750 (Good)</v>
      </c>
      <c r="K370" s="1"/>
    </row>
    <row r="371" spans="1:11" x14ac:dyDescent="0.35">
      <c r="A371" t="s">
        <v>1328</v>
      </c>
      <c r="B371" t="s">
        <v>1329</v>
      </c>
      <c r="C371">
        <v>63386</v>
      </c>
      <c r="D371">
        <v>767</v>
      </c>
      <c r="E371">
        <v>41057</v>
      </c>
      <c r="F371">
        <v>10</v>
      </c>
      <c r="G371">
        <v>70</v>
      </c>
      <c r="H371" t="b">
        <v>1</v>
      </c>
      <c r="I371">
        <f t="shared" si="10"/>
        <v>1</v>
      </c>
      <c r="J371" t="str">
        <f t="shared" si="11"/>
        <v>751-850 (Excellent)</v>
      </c>
      <c r="K371" s="1"/>
    </row>
    <row r="372" spans="1:11" x14ac:dyDescent="0.35">
      <c r="A372" t="s">
        <v>3563</v>
      </c>
      <c r="B372" t="s">
        <v>3564</v>
      </c>
      <c r="C372">
        <v>88115</v>
      </c>
      <c r="D372">
        <v>806</v>
      </c>
      <c r="E372">
        <v>41005</v>
      </c>
      <c r="F372">
        <v>34</v>
      </c>
      <c r="G372">
        <v>80</v>
      </c>
      <c r="H372" t="b">
        <v>1</v>
      </c>
      <c r="I372">
        <f t="shared" si="10"/>
        <v>1</v>
      </c>
      <c r="J372" t="str">
        <f t="shared" si="11"/>
        <v>751-850 (Excellent)</v>
      </c>
      <c r="K372" s="1"/>
    </row>
    <row r="373" spans="1:11" x14ac:dyDescent="0.35">
      <c r="A373" t="s">
        <v>26</v>
      </c>
      <c r="B373" t="s">
        <v>27</v>
      </c>
      <c r="C373">
        <v>59256</v>
      </c>
      <c r="D373">
        <v>373</v>
      </c>
      <c r="E373">
        <v>40920</v>
      </c>
      <c r="F373">
        <v>40</v>
      </c>
      <c r="G373">
        <v>35</v>
      </c>
      <c r="H373" t="b">
        <v>0</v>
      </c>
      <c r="I373">
        <f t="shared" si="10"/>
        <v>0</v>
      </c>
      <c r="J373" t="str">
        <f t="shared" si="11"/>
        <v>300-450 (Poor)</v>
      </c>
      <c r="K373" s="1"/>
    </row>
    <row r="374" spans="1:11" x14ac:dyDescent="0.35">
      <c r="A374" t="s">
        <v>279</v>
      </c>
      <c r="B374" t="s">
        <v>280</v>
      </c>
      <c r="C374">
        <v>65093</v>
      </c>
      <c r="D374">
        <v>326</v>
      </c>
      <c r="E374">
        <v>40911</v>
      </c>
      <c r="F374">
        <v>17</v>
      </c>
      <c r="G374">
        <v>35</v>
      </c>
      <c r="H374" t="b">
        <v>0</v>
      </c>
      <c r="I374">
        <f t="shared" si="10"/>
        <v>0</v>
      </c>
      <c r="J374" t="str">
        <f t="shared" si="11"/>
        <v>300-450 (Poor)</v>
      </c>
      <c r="K374" s="1"/>
    </row>
    <row r="375" spans="1:11" x14ac:dyDescent="0.35">
      <c r="A375" t="s">
        <v>1191</v>
      </c>
      <c r="B375" t="s">
        <v>1192</v>
      </c>
      <c r="C375">
        <v>132548</v>
      </c>
      <c r="D375">
        <v>737</v>
      </c>
      <c r="E375">
        <v>40901</v>
      </c>
      <c r="F375">
        <v>20</v>
      </c>
      <c r="G375">
        <v>75</v>
      </c>
      <c r="H375" t="b">
        <v>1</v>
      </c>
      <c r="I375">
        <f t="shared" si="10"/>
        <v>1</v>
      </c>
      <c r="J375" t="str">
        <f t="shared" si="11"/>
        <v>601-750 (Good)</v>
      </c>
      <c r="K375" s="1"/>
    </row>
    <row r="376" spans="1:11" x14ac:dyDescent="0.35">
      <c r="A376" t="s">
        <v>2050</v>
      </c>
      <c r="B376" t="s">
        <v>2051</v>
      </c>
      <c r="C376">
        <v>43833</v>
      </c>
      <c r="D376">
        <v>710</v>
      </c>
      <c r="E376">
        <v>40794</v>
      </c>
      <c r="F376">
        <v>17</v>
      </c>
      <c r="G376">
        <v>50</v>
      </c>
      <c r="H376" t="b">
        <v>0</v>
      </c>
      <c r="I376">
        <f t="shared" si="10"/>
        <v>0</v>
      </c>
      <c r="J376" t="str">
        <f t="shared" si="11"/>
        <v>601-750 (Good)</v>
      </c>
      <c r="K376" s="1"/>
    </row>
    <row r="377" spans="1:11" x14ac:dyDescent="0.35">
      <c r="A377" t="s">
        <v>231</v>
      </c>
      <c r="B377" t="s">
        <v>232</v>
      </c>
      <c r="C377">
        <v>52431</v>
      </c>
      <c r="D377">
        <v>535</v>
      </c>
      <c r="E377">
        <v>40784</v>
      </c>
      <c r="F377">
        <v>22</v>
      </c>
      <c r="G377">
        <v>35</v>
      </c>
      <c r="H377" t="b">
        <v>0</v>
      </c>
      <c r="I377">
        <f t="shared" si="10"/>
        <v>0</v>
      </c>
      <c r="J377" t="str">
        <f t="shared" si="11"/>
        <v>451-600 (Fair)</v>
      </c>
      <c r="K377" s="1"/>
    </row>
    <row r="378" spans="1:11" x14ac:dyDescent="0.35">
      <c r="A378" t="s">
        <v>3176</v>
      </c>
      <c r="B378" t="s">
        <v>3177</v>
      </c>
      <c r="C378">
        <v>67700</v>
      </c>
      <c r="D378">
        <v>752</v>
      </c>
      <c r="E378">
        <v>40751</v>
      </c>
      <c r="F378">
        <v>13</v>
      </c>
      <c r="G378">
        <v>70</v>
      </c>
      <c r="H378" t="b">
        <v>1</v>
      </c>
      <c r="I378">
        <f t="shared" si="10"/>
        <v>1</v>
      </c>
      <c r="J378" t="str">
        <f t="shared" si="11"/>
        <v>751-850 (Excellent)</v>
      </c>
      <c r="K378" s="1"/>
    </row>
    <row r="379" spans="1:11" x14ac:dyDescent="0.35">
      <c r="A379" t="s">
        <v>954</v>
      </c>
      <c r="B379" t="s">
        <v>955</v>
      </c>
      <c r="C379">
        <v>64760</v>
      </c>
      <c r="D379">
        <v>759</v>
      </c>
      <c r="E379">
        <v>40749</v>
      </c>
      <c r="F379">
        <v>30</v>
      </c>
      <c r="G379">
        <v>70</v>
      </c>
      <c r="H379" t="b">
        <v>1</v>
      </c>
      <c r="I379">
        <f t="shared" si="10"/>
        <v>1</v>
      </c>
      <c r="J379" t="str">
        <f t="shared" si="11"/>
        <v>751-850 (Excellent)</v>
      </c>
      <c r="K379" s="1"/>
    </row>
    <row r="380" spans="1:11" x14ac:dyDescent="0.35">
      <c r="A380" t="s">
        <v>2035</v>
      </c>
      <c r="B380" t="s">
        <v>1678</v>
      </c>
      <c r="C380">
        <v>96317</v>
      </c>
      <c r="D380">
        <v>586</v>
      </c>
      <c r="E380">
        <v>40749</v>
      </c>
      <c r="F380">
        <v>6</v>
      </c>
      <c r="G380">
        <v>50</v>
      </c>
      <c r="H380" t="b">
        <v>0</v>
      </c>
      <c r="I380">
        <f t="shared" si="10"/>
        <v>0</v>
      </c>
      <c r="J380" t="str">
        <f t="shared" si="11"/>
        <v>451-600 (Fair)</v>
      </c>
      <c r="K380" s="1"/>
    </row>
    <row r="381" spans="1:11" x14ac:dyDescent="0.35">
      <c r="A381" t="s">
        <v>143</v>
      </c>
      <c r="B381" t="s">
        <v>144</v>
      </c>
      <c r="C381">
        <v>100284</v>
      </c>
      <c r="D381">
        <v>471</v>
      </c>
      <c r="E381">
        <v>40707</v>
      </c>
      <c r="F381">
        <v>38</v>
      </c>
      <c r="G381">
        <v>45</v>
      </c>
      <c r="H381" t="b">
        <v>0</v>
      </c>
      <c r="I381">
        <f t="shared" si="10"/>
        <v>0</v>
      </c>
      <c r="J381" t="str">
        <f t="shared" si="11"/>
        <v>451-600 (Fair)</v>
      </c>
      <c r="K381" s="1"/>
    </row>
    <row r="382" spans="1:11" x14ac:dyDescent="0.35">
      <c r="A382" t="s">
        <v>2980</v>
      </c>
      <c r="B382" t="s">
        <v>1962</v>
      </c>
      <c r="C382">
        <v>140761</v>
      </c>
      <c r="D382">
        <v>807</v>
      </c>
      <c r="E382">
        <v>40679</v>
      </c>
      <c r="F382">
        <v>11</v>
      </c>
      <c r="G382">
        <v>90</v>
      </c>
      <c r="H382" t="b">
        <v>1</v>
      </c>
      <c r="I382">
        <f t="shared" si="10"/>
        <v>1</v>
      </c>
      <c r="J382" t="str">
        <f t="shared" si="11"/>
        <v>751-850 (Excellent)</v>
      </c>
      <c r="K382" s="1"/>
    </row>
    <row r="383" spans="1:11" x14ac:dyDescent="0.35">
      <c r="A383" t="s">
        <v>3595</v>
      </c>
      <c r="B383" t="s">
        <v>3596</v>
      </c>
      <c r="C383">
        <v>46011</v>
      </c>
      <c r="D383">
        <v>361</v>
      </c>
      <c r="E383">
        <v>40653</v>
      </c>
      <c r="F383">
        <v>8</v>
      </c>
      <c r="G383">
        <v>20</v>
      </c>
      <c r="H383" t="b">
        <v>0</v>
      </c>
      <c r="I383">
        <f t="shared" si="10"/>
        <v>0</v>
      </c>
      <c r="J383" t="str">
        <f t="shared" si="11"/>
        <v>300-450 (Poor)</v>
      </c>
      <c r="K383" s="1"/>
    </row>
    <row r="384" spans="1:11" x14ac:dyDescent="0.35">
      <c r="A384" t="s">
        <v>1978</v>
      </c>
      <c r="B384" t="s">
        <v>1979</v>
      </c>
      <c r="C384">
        <v>149016</v>
      </c>
      <c r="D384">
        <v>823</v>
      </c>
      <c r="E384">
        <v>40645</v>
      </c>
      <c r="F384">
        <v>10</v>
      </c>
      <c r="G384">
        <v>90</v>
      </c>
      <c r="H384" t="b">
        <v>1</v>
      </c>
      <c r="I384">
        <f t="shared" si="10"/>
        <v>1</v>
      </c>
      <c r="J384" t="str">
        <f t="shared" si="11"/>
        <v>751-850 (Excellent)</v>
      </c>
      <c r="K384" s="1"/>
    </row>
    <row r="385" spans="1:11" x14ac:dyDescent="0.35">
      <c r="A385" t="s">
        <v>2038</v>
      </c>
      <c r="B385" t="s">
        <v>2039</v>
      </c>
      <c r="C385">
        <v>74725</v>
      </c>
      <c r="D385">
        <v>841</v>
      </c>
      <c r="E385">
        <v>40630</v>
      </c>
      <c r="F385">
        <v>23</v>
      </c>
      <c r="G385">
        <v>75</v>
      </c>
      <c r="H385" t="b">
        <v>1</v>
      </c>
      <c r="I385">
        <f t="shared" si="10"/>
        <v>1</v>
      </c>
      <c r="J385" t="str">
        <f t="shared" si="11"/>
        <v>751-850 (Excellent)</v>
      </c>
      <c r="K385" s="1"/>
    </row>
    <row r="386" spans="1:11" x14ac:dyDescent="0.35">
      <c r="A386" t="s">
        <v>2617</v>
      </c>
      <c r="B386" t="s">
        <v>2618</v>
      </c>
      <c r="C386">
        <v>118117</v>
      </c>
      <c r="D386">
        <v>346</v>
      </c>
      <c r="E386">
        <v>40624</v>
      </c>
      <c r="F386">
        <v>25</v>
      </c>
      <c r="G386">
        <v>50</v>
      </c>
      <c r="H386" t="b">
        <v>0</v>
      </c>
      <c r="I386">
        <f t="shared" si="10"/>
        <v>0</v>
      </c>
      <c r="J386" t="str">
        <f t="shared" si="11"/>
        <v>300-450 (Poor)</v>
      </c>
      <c r="K386" s="1"/>
    </row>
    <row r="387" spans="1:11" x14ac:dyDescent="0.35">
      <c r="A387" t="s">
        <v>1907</v>
      </c>
      <c r="B387" t="s">
        <v>1908</v>
      </c>
      <c r="C387">
        <v>35276</v>
      </c>
      <c r="D387">
        <v>645</v>
      </c>
      <c r="E387">
        <v>40608</v>
      </c>
      <c r="F387">
        <v>27</v>
      </c>
      <c r="G387">
        <v>40</v>
      </c>
      <c r="H387" t="b">
        <v>0</v>
      </c>
      <c r="I387">
        <f t="shared" si="10"/>
        <v>0</v>
      </c>
      <c r="J387" t="str">
        <f t="shared" si="11"/>
        <v>601-750 (Good)</v>
      </c>
      <c r="K387" s="1"/>
    </row>
    <row r="388" spans="1:11" x14ac:dyDescent="0.35">
      <c r="A388" t="s">
        <v>2104</v>
      </c>
      <c r="B388" t="s">
        <v>2105</v>
      </c>
      <c r="C388">
        <v>138885</v>
      </c>
      <c r="D388">
        <v>332</v>
      </c>
      <c r="E388">
        <v>40595</v>
      </c>
      <c r="F388">
        <v>11</v>
      </c>
      <c r="G388">
        <v>50</v>
      </c>
      <c r="H388" t="b">
        <v>0</v>
      </c>
      <c r="I388">
        <f t="shared" ref="I388:I451" si="12">--H388</f>
        <v>0</v>
      </c>
      <c r="J388" t="str">
        <f t="shared" ref="J388:J451" si="13">IF(D388&gt;750, "751-850 (Excellent)", IF(D388&gt;600, "601-750 (Good)", IF(D388&gt;450, "451-600 (Fair)", "300-450 (Poor)")))</f>
        <v>300-450 (Poor)</v>
      </c>
      <c r="K388" s="1"/>
    </row>
    <row r="389" spans="1:11" x14ac:dyDescent="0.35">
      <c r="A389" t="s">
        <v>187</v>
      </c>
      <c r="B389" t="s">
        <v>188</v>
      </c>
      <c r="C389">
        <v>142108</v>
      </c>
      <c r="D389">
        <v>630</v>
      </c>
      <c r="E389">
        <v>40564</v>
      </c>
      <c r="F389">
        <v>16</v>
      </c>
      <c r="G389">
        <v>65</v>
      </c>
      <c r="H389" t="b">
        <v>1</v>
      </c>
      <c r="I389">
        <f t="shared" si="12"/>
        <v>1</v>
      </c>
      <c r="J389" t="str">
        <f t="shared" si="13"/>
        <v>601-750 (Good)</v>
      </c>
      <c r="K389" s="1"/>
    </row>
    <row r="390" spans="1:11" x14ac:dyDescent="0.35">
      <c r="A390" t="s">
        <v>1410</v>
      </c>
      <c r="B390" t="s">
        <v>1411</v>
      </c>
      <c r="C390">
        <v>118777</v>
      </c>
      <c r="D390">
        <v>625</v>
      </c>
      <c r="E390">
        <v>40529</v>
      </c>
      <c r="F390">
        <v>38</v>
      </c>
      <c r="G390">
        <v>65</v>
      </c>
      <c r="H390" t="b">
        <v>1</v>
      </c>
      <c r="I390">
        <f t="shared" si="12"/>
        <v>1</v>
      </c>
      <c r="J390" t="str">
        <f t="shared" si="13"/>
        <v>601-750 (Good)</v>
      </c>
      <c r="K390" s="1"/>
    </row>
    <row r="391" spans="1:11" x14ac:dyDescent="0.35">
      <c r="A391" t="s">
        <v>365</v>
      </c>
      <c r="B391" t="s">
        <v>366</v>
      </c>
      <c r="C391">
        <v>133819</v>
      </c>
      <c r="D391">
        <v>756</v>
      </c>
      <c r="E391">
        <v>40493</v>
      </c>
      <c r="F391">
        <v>27</v>
      </c>
      <c r="G391">
        <v>85</v>
      </c>
      <c r="H391" t="b">
        <v>1</v>
      </c>
      <c r="I391">
        <f t="shared" si="12"/>
        <v>1</v>
      </c>
      <c r="J391" t="str">
        <f t="shared" si="13"/>
        <v>751-850 (Excellent)</v>
      </c>
      <c r="K391" s="1"/>
    </row>
    <row r="392" spans="1:11" x14ac:dyDescent="0.35">
      <c r="A392" t="s">
        <v>3758</v>
      </c>
      <c r="B392" t="s">
        <v>3759</v>
      </c>
      <c r="C392">
        <v>90036</v>
      </c>
      <c r="D392">
        <v>755</v>
      </c>
      <c r="E392">
        <v>40448</v>
      </c>
      <c r="F392">
        <v>36</v>
      </c>
      <c r="G392">
        <v>75</v>
      </c>
      <c r="H392" t="b">
        <v>1</v>
      </c>
      <c r="I392">
        <f t="shared" si="12"/>
        <v>1</v>
      </c>
      <c r="J392" t="str">
        <f t="shared" si="13"/>
        <v>751-850 (Excellent)</v>
      </c>
      <c r="K392" s="1"/>
    </row>
    <row r="393" spans="1:11" x14ac:dyDescent="0.35">
      <c r="A393" t="s">
        <v>3058</v>
      </c>
      <c r="B393" t="s">
        <v>3059</v>
      </c>
      <c r="C393">
        <v>60771</v>
      </c>
      <c r="D393">
        <v>700</v>
      </c>
      <c r="E393">
        <v>40440</v>
      </c>
      <c r="F393">
        <v>10</v>
      </c>
      <c r="G393">
        <v>60</v>
      </c>
      <c r="H393" t="b">
        <v>1</v>
      </c>
      <c r="I393">
        <f t="shared" si="12"/>
        <v>1</v>
      </c>
      <c r="J393" t="str">
        <f t="shared" si="13"/>
        <v>601-750 (Good)</v>
      </c>
      <c r="K393" s="1"/>
    </row>
    <row r="394" spans="1:11" x14ac:dyDescent="0.35">
      <c r="A394" t="s">
        <v>2814</v>
      </c>
      <c r="B394" t="s">
        <v>2815</v>
      </c>
      <c r="C394">
        <v>68254</v>
      </c>
      <c r="D394">
        <v>343</v>
      </c>
      <c r="E394">
        <v>40430</v>
      </c>
      <c r="F394">
        <v>6</v>
      </c>
      <c r="G394">
        <v>30</v>
      </c>
      <c r="H394" t="b">
        <v>0</v>
      </c>
      <c r="I394">
        <f t="shared" si="12"/>
        <v>0</v>
      </c>
      <c r="J394" t="str">
        <f t="shared" si="13"/>
        <v>300-450 (Poor)</v>
      </c>
      <c r="K394" s="1"/>
    </row>
    <row r="395" spans="1:11" x14ac:dyDescent="0.35">
      <c r="A395" t="s">
        <v>2984</v>
      </c>
      <c r="B395" t="s">
        <v>2985</v>
      </c>
      <c r="C395">
        <v>98937</v>
      </c>
      <c r="D395">
        <v>603</v>
      </c>
      <c r="E395">
        <v>40423</v>
      </c>
      <c r="F395">
        <v>26</v>
      </c>
      <c r="G395">
        <v>55</v>
      </c>
      <c r="H395" t="b">
        <v>0</v>
      </c>
      <c r="I395">
        <f t="shared" si="12"/>
        <v>0</v>
      </c>
      <c r="J395" t="str">
        <f t="shared" si="13"/>
        <v>601-750 (Good)</v>
      </c>
      <c r="K395" s="1"/>
    </row>
    <row r="396" spans="1:11" x14ac:dyDescent="0.35">
      <c r="A396" t="s">
        <v>1717</v>
      </c>
      <c r="B396" t="s">
        <v>1718</v>
      </c>
      <c r="C396">
        <v>91069</v>
      </c>
      <c r="D396">
        <v>685</v>
      </c>
      <c r="E396">
        <v>40407</v>
      </c>
      <c r="F396">
        <v>22</v>
      </c>
      <c r="G396">
        <v>65</v>
      </c>
      <c r="H396" t="b">
        <v>1</v>
      </c>
      <c r="I396">
        <f t="shared" si="12"/>
        <v>1</v>
      </c>
      <c r="J396" t="str">
        <f t="shared" si="13"/>
        <v>601-750 (Good)</v>
      </c>
      <c r="K396" s="1"/>
    </row>
    <row r="397" spans="1:11" x14ac:dyDescent="0.35">
      <c r="A397" t="s">
        <v>2787</v>
      </c>
      <c r="B397" t="s">
        <v>2788</v>
      </c>
      <c r="C397">
        <v>102384</v>
      </c>
      <c r="D397">
        <v>838</v>
      </c>
      <c r="E397">
        <v>40382</v>
      </c>
      <c r="F397">
        <v>9</v>
      </c>
      <c r="G397">
        <v>85</v>
      </c>
      <c r="H397" t="b">
        <v>1</v>
      </c>
      <c r="I397">
        <f t="shared" si="12"/>
        <v>1</v>
      </c>
      <c r="J397" t="str">
        <f t="shared" si="13"/>
        <v>751-850 (Excellent)</v>
      </c>
      <c r="K397" s="1"/>
    </row>
    <row r="398" spans="1:11" x14ac:dyDescent="0.35">
      <c r="A398" t="s">
        <v>275</v>
      </c>
      <c r="B398" t="s">
        <v>276</v>
      </c>
      <c r="C398">
        <v>71347</v>
      </c>
      <c r="D398">
        <v>594</v>
      </c>
      <c r="E398">
        <v>40348</v>
      </c>
      <c r="F398">
        <v>19</v>
      </c>
      <c r="G398">
        <v>50</v>
      </c>
      <c r="H398" t="b">
        <v>0</v>
      </c>
      <c r="I398">
        <f t="shared" si="12"/>
        <v>0</v>
      </c>
      <c r="J398" t="str">
        <f t="shared" si="13"/>
        <v>451-600 (Fair)</v>
      </c>
      <c r="K398" s="1"/>
    </row>
    <row r="399" spans="1:11" x14ac:dyDescent="0.35">
      <c r="A399" t="s">
        <v>3411</v>
      </c>
      <c r="B399" t="s">
        <v>3412</v>
      </c>
      <c r="C399">
        <v>140853</v>
      </c>
      <c r="D399">
        <v>451</v>
      </c>
      <c r="E399">
        <v>40344</v>
      </c>
      <c r="F399">
        <v>36</v>
      </c>
      <c r="G399">
        <v>50</v>
      </c>
      <c r="H399" t="b">
        <v>0</v>
      </c>
      <c r="I399">
        <f t="shared" si="12"/>
        <v>0</v>
      </c>
      <c r="J399" t="str">
        <f t="shared" si="13"/>
        <v>451-600 (Fair)</v>
      </c>
      <c r="K399" s="1"/>
    </row>
    <row r="400" spans="1:11" x14ac:dyDescent="0.35">
      <c r="A400" t="s">
        <v>1739</v>
      </c>
      <c r="B400" t="s">
        <v>1740</v>
      </c>
      <c r="C400">
        <v>32560</v>
      </c>
      <c r="D400">
        <v>374</v>
      </c>
      <c r="E400">
        <v>40319</v>
      </c>
      <c r="F400">
        <v>39</v>
      </c>
      <c r="G400">
        <v>25</v>
      </c>
      <c r="H400" t="b">
        <v>0</v>
      </c>
      <c r="I400">
        <f t="shared" si="12"/>
        <v>0</v>
      </c>
      <c r="J400" t="str">
        <f t="shared" si="13"/>
        <v>300-450 (Poor)</v>
      </c>
      <c r="K400" s="1"/>
    </row>
    <row r="401" spans="1:11" x14ac:dyDescent="0.35">
      <c r="A401" t="s">
        <v>1523</v>
      </c>
      <c r="B401" t="s">
        <v>1524</v>
      </c>
      <c r="C401">
        <v>39545</v>
      </c>
      <c r="D401">
        <v>543</v>
      </c>
      <c r="E401">
        <v>40309</v>
      </c>
      <c r="F401">
        <v>7</v>
      </c>
      <c r="G401">
        <v>20</v>
      </c>
      <c r="H401" t="b">
        <v>0</v>
      </c>
      <c r="I401">
        <f t="shared" si="12"/>
        <v>0</v>
      </c>
      <c r="J401" t="str">
        <f t="shared" si="13"/>
        <v>451-600 (Fair)</v>
      </c>
      <c r="K401" s="1"/>
    </row>
    <row r="402" spans="1:11" x14ac:dyDescent="0.35">
      <c r="A402" t="s">
        <v>2635</v>
      </c>
      <c r="B402" t="s">
        <v>2636</v>
      </c>
      <c r="C402">
        <v>98021</v>
      </c>
      <c r="D402">
        <v>728</v>
      </c>
      <c r="E402">
        <v>40272</v>
      </c>
      <c r="F402">
        <v>17</v>
      </c>
      <c r="G402">
        <v>65</v>
      </c>
      <c r="H402" t="b">
        <v>1</v>
      </c>
      <c r="I402">
        <f t="shared" si="12"/>
        <v>1</v>
      </c>
      <c r="J402" t="str">
        <f t="shared" si="13"/>
        <v>601-750 (Good)</v>
      </c>
      <c r="K402" s="1"/>
    </row>
    <row r="403" spans="1:11" x14ac:dyDescent="0.35">
      <c r="A403" t="s">
        <v>2688</v>
      </c>
      <c r="B403" t="s">
        <v>2689</v>
      </c>
      <c r="C403">
        <v>136635</v>
      </c>
      <c r="D403">
        <v>520</v>
      </c>
      <c r="E403">
        <v>40209</v>
      </c>
      <c r="F403">
        <v>31</v>
      </c>
      <c r="G403">
        <v>50</v>
      </c>
      <c r="H403" t="b">
        <v>0</v>
      </c>
      <c r="I403">
        <f t="shared" si="12"/>
        <v>0</v>
      </c>
      <c r="J403" t="str">
        <f t="shared" si="13"/>
        <v>451-600 (Fair)</v>
      </c>
      <c r="K403" s="1"/>
    </row>
    <row r="404" spans="1:11" x14ac:dyDescent="0.35">
      <c r="A404" t="s">
        <v>3215</v>
      </c>
      <c r="B404" t="s">
        <v>3216</v>
      </c>
      <c r="C404">
        <v>43979</v>
      </c>
      <c r="D404">
        <v>379</v>
      </c>
      <c r="E404">
        <v>40206</v>
      </c>
      <c r="F404">
        <v>18</v>
      </c>
      <c r="G404">
        <v>25</v>
      </c>
      <c r="H404" t="b">
        <v>0</v>
      </c>
      <c r="I404">
        <f t="shared" si="12"/>
        <v>0</v>
      </c>
      <c r="J404" t="str">
        <f t="shared" si="13"/>
        <v>300-450 (Poor)</v>
      </c>
      <c r="K404" s="1"/>
    </row>
    <row r="405" spans="1:11" x14ac:dyDescent="0.35">
      <c r="A405" t="s">
        <v>3740</v>
      </c>
      <c r="B405" t="s">
        <v>3741</v>
      </c>
      <c r="C405">
        <v>59038</v>
      </c>
      <c r="D405">
        <v>606</v>
      </c>
      <c r="E405">
        <v>40038</v>
      </c>
      <c r="F405">
        <v>25</v>
      </c>
      <c r="G405">
        <v>50</v>
      </c>
      <c r="H405" t="b">
        <v>0</v>
      </c>
      <c r="I405">
        <f t="shared" si="12"/>
        <v>0</v>
      </c>
      <c r="J405" t="str">
        <f t="shared" si="13"/>
        <v>601-750 (Good)</v>
      </c>
      <c r="K405" s="1"/>
    </row>
    <row r="406" spans="1:11" x14ac:dyDescent="0.35">
      <c r="A406" t="s">
        <v>3731</v>
      </c>
      <c r="B406" t="s">
        <v>3732</v>
      </c>
      <c r="C406">
        <v>97271</v>
      </c>
      <c r="D406">
        <v>825</v>
      </c>
      <c r="E406">
        <v>40024</v>
      </c>
      <c r="F406">
        <v>32</v>
      </c>
      <c r="G406">
        <v>80</v>
      </c>
      <c r="H406" t="b">
        <v>1</v>
      </c>
      <c r="I406">
        <f t="shared" si="12"/>
        <v>1</v>
      </c>
      <c r="J406" t="str">
        <f t="shared" si="13"/>
        <v>751-850 (Excellent)</v>
      </c>
      <c r="K406" s="1"/>
    </row>
    <row r="407" spans="1:11" x14ac:dyDescent="0.35">
      <c r="A407" t="s">
        <v>1208</v>
      </c>
      <c r="B407" t="s">
        <v>1209</v>
      </c>
      <c r="C407">
        <v>50866</v>
      </c>
      <c r="D407">
        <v>491</v>
      </c>
      <c r="E407">
        <v>40006</v>
      </c>
      <c r="F407">
        <v>7</v>
      </c>
      <c r="G407">
        <v>30</v>
      </c>
      <c r="H407" t="b">
        <v>0</v>
      </c>
      <c r="I407">
        <f t="shared" si="12"/>
        <v>0</v>
      </c>
      <c r="J407" t="str">
        <f t="shared" si="13"/>
        <v>451-600 (Fair)</v>
      </c>
      <c r="K407" s="1"/>
    </row>
    <row r="408" spans="1:11" x14ac:dyDescent="0.35">
      <c r="A408" t="s">
        <v>2307</v>
      </c>
      <c r="B408" t="s">
        <v>2308</v>
      </c>
      <c r="C408">
        <v>31854</v>
      </c>
      <c r="D408">
        <v>641</v>
      </c>
      <c r="E408">
        <v>39950</v>
      </c>
      <c r="F408">
        <v>6</v>
      </c>
      <c r="G408">
        <v>35</v>
      </c>
      <c r="H408" t="b">
        <v>0</v>
      </c>
      <c r="I408">
        <f t="shared" si="12"/>
        <v>0</v>
      </c>
      <c r="J408" t="str">
        <f t="shared" si="13"/>
        <v>601-750 (Good)</v>
      </c>
      <c r="K408" s="1"/>
    </row>
    <row r="409" spans="1:11" x14ac:dyDescent="0.35">
      <c r="A409" t="s">
        <v>3783</v>
      </c>
      <c r="B409" t="s">
        <v>3784</v>
      </c>
      <c r="C409">
        <v>39632</v>
      </c>
      <c r="D409">
        <v>325</v>
      </c>
      <c r="E409">
        <v>39936</v>
      </c>
      <c r="F409">
        <v>36</v>
      </c>
      <c r="G409">
        <v>25</v>
      </c>
      <c r="H409" t="b">
        <v>0</v>
      </c>
      <c r="I409">
        <f t="shared" si="12"/>
        <v>0</v>
      </c>
      <c r="J409" t="str">
        <f t="shared" si="13"/>
        <v>300-450 (Poor)</v>
      </c>
      <c r="K409" s="1"/>
    </row>
    <row r="410" spans="1:11" x14ac:dyDescent="0.35">
      <c r="A410" t="s">
        <v>566</v>
      </c>
      <c r="B410" t="s">
        <v>567</v>
      </c>
      <c r="C410">
        <v>118039</v>
      </c>
      <c r="D410">
        <v>849</v>
      </c>
      <c r="E410">
        <v>39916</v>
      </c>
      <c r="F410">
        <v>40</v>
      </c>
      <c r="G410">
        <v>90</v>
      </c>
      <c r="H410" t="b">
        <v>1</v>
      </c>
      <c r="I410">
        <f t="shared" si="12"/>
        <v>1</v>
      </c>
      <c r="J410" t="str">
        <f t="shared" si="13"/>
        <v>751-850 (Excellent)</v>
      </c>
      <c r="K410" s="1"/>
    </row>
    <row r="411" spans="1:11" x14ac:dyDescent="0.35">
      <c r="A411" t="s">
        <v>2571</v>
      </c>
      <c r="B411" t="s">
        <v>2572</v>
      </c>
      <c r="C411">
        <v>82757</v>
      </c>
      <c r="D411">
        <v>767</v>
      </c>
      <c r="E411">
        <v>39900</v>
      </c>
      <c r="F411">
        <v>36</v>
      </c>
      <c r="G411">
        <v>75</v>
      </c>
      <c r="H411" t="b">
        <v>1</v>
      </c>
      <c r="I411">
        <f t="shared" si="12"/>
        <v>1</v>
      </c>
      <c r="J411" t="str">
        <f t="shared" si="13"/>
        <v>751-850 (Excellent)</v>
      </c>
      <c r="K411" s="1"/>
    </row>
    <row r="412" spans="1:11" x14ac:dyDescent="0.35">
      <c r="A412" t="s">
        <v>3248</v>
      </c>
      <c r="B412" t="s">
        <v>3249</v>
      </c>
      <c r="C412">
        <v>119889</v>
      </c>
      <c r="D412">
        <v>634</v>
      </c>
      <c r="E412">
        <v>39892</v>
      </c>
      <c r="F412">
        <v>24</v>
      </c>
      <c r="G412">
        <v>65</v>
      </c>
      <c r="H412" t="b">
        <v>1</v>
      </c>
      <c r="I412">
        <f t="shared" si="12"/>
        <v>1</v>
      </c>
      <c r="J412" t="str">
        <f t="shared" si="13"/>
        <v>601-750 (Good)</v>
      </c>
      <c r="K412" s="1"/>
    </row>
    <row r="413" spans="1:11" x14ac:dyDescent="0.35">
      <c r="A413" t="s">
        <v>3448</v>
      </c>
      <c r="B413" t="s">
        <v>3449</v>
      </c>
      <c r="C413">
        <v>137795</v>
      </c>
      <c r="D413">
        <v>546</v>
      </c>
      <c r="E413">
        <v>39883</v>
      </c>
      <c r="F413">
        <v>5</v>
      </c>
      <c r="G413">
        <v>45</v>
      </c>
      <c r="H413" t="b">
        <v>0</v>
      </c>
      <c r="I413">
        <f t="shared" si="12"/>
        <v>0</v>
      </c>
      <c r="J413" t="str">
        <f t="shared" si="13"/>
        <v>451-600 (Fair)</v>
      </c>
      <c r="K413" s="1"/>
    </row>
    <row r="414" spans="1:11" x14ac:dyDescent="0.35">
      <c r="A414" t="s">
        <v>2574</v>
      </c>
      <c r="B414" t="s">
        <v>2575</v>
      </c>
      <c r="C414">
        <v>95597</v>
      </c>
      <c r="D414">
        <v>710</v>
      </c>
      <c r="E414">
        <v>39867</v>
      </c>
      <c r="F414">
        <v>1</v>
      </c>
      <c r="G414">
        <v>50</v>
      </c>
      <c r="H414" t="b">
        <v>0</v>
      </c>
      <c r="I414">
        <f t="shared" si="12"/>
        <v>0</v>
      </c>
      <c r="J414" t="str">
        <f t="shared" si="13"/>
        <v>601-750 (Good)</v>
      </c>
      <c r="K414" s="1"/>
    </row>
    <row r="415" spans="1:11" x14ac:dyDescent="0.35">
      <c r="A415" t="s">
        <v>675</v>
      </c>
      <c r="B415" t="s">
        <v>676</v>
      </c>
      <c r="C415">
        <v>83883</v>
      </c>
      <c r="D415">
        <v>376</v>
      </c>
      <c r="E415">
        <v>39790</v>
      </c>
      <c r="F415">
        <v>36</v>
      </c>
      <c r="G415">
        <v>40</v>
      </c>
      <c r="H415" t="b">
        <v>0</v>
      </c>
      <c r="I415">
        <f t="shared" si="12"/>
        <v>0</v>
      </c>
      <c r="J415" t="str">
        <f t="shared" si="13"/>
        <v>300-450 (Poor)</v>
      </c>
      <c r="K415" s="1"/>
    </row>
    <row r="416" spans="1:11" x14ac:dyDescent="0.35">
      <c r="A416" t="s">
        <v>1279</v>
      </c>
      <c r="B416" t="s">
        <v>1280</v>
      </c>
      <c r="C416">
        <v>100282</v>
      </c>
      <c r="D416">
        <v>478</v>
      </c>
      <c r="E416">
        <v>39782</v>
      </c>
      <c r="F416">
        <v>9</v>
      </c>
      <c r="G416">
        <v>45</v>
      </c>
      <c r="H416" t="b">
        <v>0</v>
      </c>
      <c r="I416">
        <f t="shared" si="12"/>
        <v>0</v>
      </c>
      <c r="J416" t="str">
        <f t="shared" si="13"/>
        <v>451-600 (Fair)</v>
      </c>
      <c r="K416" s="1"/>
    </row>
    <row r="417" spans="1:11" x14ac:dyDescent="0.35">
      <c r="A417" t="s">
        <v>1240</v>
      </c>
      <c r="B417" t="s">
        <v>1241</v>
      </c>
      <c r="C417">
        <v>134247</v>
      </c>
      <c r="D417">
        <v>710</v>
      </c>
      <c r="E417">
        <v>39701</v>
      </c>
      <c r="F417">
        <v>26</v>
      </c>
      <c r="G417">
        <v>75</v>
      </c>
      <c r="H417" t="b">
        <v>1</v>
      </c>
      <c r="I417">
        <f t="shared" si="12"/>
        <v>1</v>
      </c>
      <c r="J417" t="str">
        <f t="shared" si="13"/>
        <v>601-750 (Good)</v>
      </c>
      <c r="K417" s="1"/>
    </row>
    <row r="418" spans="1:11" x14ac:dyDescent="0.35">
      <c r="A418" t="s">
        <v>10</v>
      </c>
      <c r="B418" t="s">
        <v>11</v>
      </c>
      <c r="C418">
        <v>113810</v>
      </c>
      <c r="D418">
        <v>389</v>
      </c>
      <c r="E418">
        <v>39698</v>
      </c>
      <c r="F418">
        <v>27</v>
      </c>
      <c r="G418">
        <v>50</v>
      </c>
      <c r="H418" t="b">
        <v>0</v>
      </c>
      <c r="I418">
        <f t="shared" si="12"/>
        <v>0</v>
      </c>
      <c r="J418" t="str">
        <f t="shared" si="13"/>
        <v>300-450 (Poor)</v>
      </c>
      <c r="K418" s="1"/>
    </row>
    <row r="419" spans="1:11" x14ac:dyDescent="0.35">
      <c r="A419" t="s">
        <v>3210</v>
      </c>
      <c r="B419" t="s">
        <v>3211</v>
      </c>
      <c r="C419">
        <v>80422</v>
      </c>
      <c r="D419">
        <v>760</v>
      </c>
      <c r="E419">
        <v>39694</v>
      </c>
      <c r="F419">
        <v>8</v>
      </c>
      <c r="G419">
        <v>70</v>
      </c>
      <c r="H419" t="b">
        <v>1</v>
      </c>
      <c r="I419">
        <f t="shared" si="12"/>
        <v>1</v>
      </c>
      <c r="J419" t="str">
        <f t="shared" si="13"/>
        <v>751-850 (Excellent)</v>
      </c>
      <c r="K419" s="1"/>
    </row>
    <row r="420" spans="1:11" x14ac:dyDescent="0.35">
      <c r="A420" t="s">
        <v>928</v>
      </c>
      <c r="B420" t="s">
        <v>929</v>
      </c>
      <c r="C420">
        <v>89929</v>
      </c>
      <c r="D420">
        <v>714</v>
      </c>
      <c r="E420">
        <v>39668</v>
      </c>
      <c r="F420">
        <v>13</v>
      </c>
      <c r="G420">
        <v>65</v>
      </c>
      <c r="H420" t="b">
        <v>1</v>
      </c>
      <c r="I420">
        <f t="shared" si="12"/>
        <v>1</v>
      </c>
      <c r="J420" t="str">
        <f t="shared" si="13"/>
        <v>601-750 (Good)</v>
      </c>
      <c r="K420" s="1"/>
    </row>
    <row r="421" spans="1:11" x14ac:dyDescent="0.35">
      <c r="A421" t="s">
        <v>743</v>
      </c>
      <c r="B421" t="s">
        <v>744</v>
      </c>
      <c r="C421">
        <v>36630</v>
      </c>
      <c r="D421">
        <v>723</v>
      </c>
      <c r="E421">
        <v>39648</v>
      </c>
      <c r="F421">
        <v>14</v>
      </c>
      <c r="G421">
        <v>50</v>
      </c>
      <c r="H421" t="b">
        <v>0</v>
      </c>
      <c r="I421">
        <f t="shared" si="12"/>
        <v>0</v>
      </c>
      <c r="J421" t="str">
        <f t="shared" si="13"/>
        <v>601-750 (Good)</v>
      </c>
      <c r="K421" s="1"/>
    </row>
    <row r="422" spans="1:11" x14ac:dyDescent="0.35">
      <c r="A422" t="s">
        <v>259</v>
      </c>
      <c r="B422" t="s">
        <v>260</v>
      </c>
      <c r="C422">
        <v>140474</v>
      </c>
      <c r="D422">
        <v>543</v>
      </c>
      <c r="E422">
        <v>39591</v>
      </c>
      <c r="F422">
        <v>20</v>
      </c>
      <c r="G422">
        <v>50</v>
      </c>
      <c r="H422" t="b">
        <v>0</v>
      </c>
      <c r="I422">
        <f t="shared" si="12"/>
        <v>0</v>
      </c>
      <c r="J422" t="str">
        <f t="shared" si="13"/>
        <v>451-600 (Fair)</v>
      </c>
      <c r="K422" s="1"/>
    </row>
    <row r="423" spans="1:11" x14ac:dyDescent="0.35">
      <c r="A423" t="s">
        <v>3246</v>
      </c>
      <c r="B423" t="s">
        <v>3247</v>
      </c>
      <c r="C423">
        <v>143386</v>
      </c>
      <c r="D423">
        <v>705</v>
      </c>
      <c r="E423">
        <v>39562</v>
      </c>
      <c r="F423">
        <v>13</v>
      </c>
      <c r="G423">
        <v>75</v>
      </c>
      <c r="H423" t="b">
        <v>1</v>
      </c>
      <c r="I423">
        <f t="shared" si="12"/>
        <v>1</v>
      </c>
      <c r="J423" t="str">
        <f t="shared" si="13"/>
        <v>601-750 (Good)</v>
      </c>
      <c r="K423" s="1"/>
    </row>
    <row r="424" spans="1:11" x14ac:dyDescent="0.35">
      <c r="A424" t="s">
        <v>1817</v>
      </c>
      <c r="B424" t="s">
        <v>1818</v>
      </c>
      <c r="C424">
        <v>46728</v>
      </c>
      <c r="D424">
        <v>617</v>
      </c>
      <c r="E424">
        <v>39501</v>
      </c>
      <c r="F424">
        <v>12</v>
      </c>
      <c r="G424">
        <v>40</v>
      </c>
      <c r="H424" t="b">
        <v>0</v>
      </c>
      <c r="I424">
        <f t="shared" si="12"/>
        <v>0</v>
      </c>
      <c r="J424" t="str">
        <f t="shared" si="13"/>
        <v>601-750 (Good)</v>
      </c>
      <c r="K424" s="1"/>
    </row>
    <row r="425" spans="1:11" x14ac:dyDescent="0.35">
      <c r="A425" t="s">
        <v>1855</v>
      </c>
      <c r="B425" t="s">
        <v>1856</v>
      </c>
      <c r="C425">
        <v>79689</v>
      </c>
      <c r="D425">
        <v>815</v>
      </c>
      <c r="E425">
        <v>39500</v>
      </c>
      <c r="F425">
        <v>0</v>
      </c>
      <c r="G425">
        <v>65</v>
      </c>
      <c r="H425" t="b">
        <v>1</v>
      </c>
      <c r="I425">
        <f t="shared" si="12"/>
        <v>1</v>
      </c>
      <c r="J425" t="str">
        <f t="shared" si="13"/>
        <v>751-850 (Excellent)</v>
      </c>
      <c r="K425" s="1"/>
    </row>
    <row r="426" spans="1:11" x14ac:dyDescent="0.35">
      <c r="A426" t="s">
        <v>247</v>
      </c>
      <c r="B426" t="s">
        <v>248</v>
      </c>
      <c r="C426">
        <v>113886</v>
      </c>
      <c r="D426">
        <v>729</v>
      </c>
      <c r="E426">
        <v>39491</v>
      </c>
      <c r="F426">
        <v>9</v>
      </c>
      <c r="G426">
        <v>70</v>
      </c>
      <c r="H426" t="b">
        <v>1</v>
      </c>
      <c r="I426">
        <f t="shared" si="12"/>
        <v>1</v>
      </c>
      <c r="J426" t="str">
        <f t="shared" si="13"/>
        <v>601-750 (Good)</v>
      </c>
      <c r="K426" s="1"/>
    </row>
    <row r="427" spans="1:11" x14ac:dyDescent="0.35">
      <c r="A427" t="s">
        <v>1601</v>
      </c>
      <c r="B427" t="s">
        <v>1602</v>
      </c>
      <c r="C427">
        <v>99616</v>
      </c>
      <c r="D427">
        <v>621</v>
      </c>
      <c r="E427">
        <v>39483</v>
      </c>
      <c r="F427">
        <v>29</v>
      </c>
      <c r="G427">
        <v>60</v>
      </c>
      <c r="H427" t="b">
        <v>1</v>
      </c>
      <c r="I427">
        <f t="shared" si="12"/>
        <v>1</v>
      </c>
      <c r="J427" t="str">
        <f t="shared" si="13"/>
        <v>601-750 (Good)</v>
      </c>
      <c r="K427" s="1"/>
    </row>
    <row r="428" spans="1:11" x14ac:dyDescent="0.35">
      <c r="A428" t="s">
        <v>3444</v>
      </c>
      <c r="B428" t="s">
        <v>3445</v>
      </c>
      <c r="C428">
        <v>106619</v>
      </c>
      <c r="D428">
        <v>563</v>
      </c>
      <c r="E428">
        <v>39477</v>
      </c>
      <c r="F428">
        <v>20</v>
      </c>
      <c r="G428">
        <v>50</v>
      </c>
      <c r="H428" t="b">
        <v>0</v>
      </c>
      <c r="I428">
        <f t="shared" si="12"/>
        <v>0</v>
      </c>
      <c r="J428" t="str">
        <f t="shared" si="13"/>
        <v>451-600 (Fair)</v>
      </c>
      <c r="K428" s="1"/>
    </row>
    <row r="429" spans="1:11" x14ac:dyDescent="0.35">
      <c r="A429" t="s">
        <v>771</v>
      </c>
      <c r="B429" t="s">
        <v>772</v>
      </c>
      <c r="C429">
        <v>143331</v>
      </c>
      <c r="D429">
        <v>785</v>
      </c>
      <c r="E429">
        <v>39461</v>
      </c>
      <c r="F429">
        <v>35</v>
      </c>
      <c r="G429">
        <v>85</v>
      </c>
      <c r="H429" t="b">
        <v>1</v>
      </c>
      <c r="I429">
        <f t="shared" si="12"/>
        <v>1</v>
      </c>
      <c r="J429" t="str">
        <f t="shared" si="13"/>
        <v>751-850 (Excellent)</v>
      </c>
      <c r="K429" s="1"/>
    </row>
    <row r="430" spans="1:11" x14ac:dyDescent="0.35">
      <c r="A430" t="s">
        <v>2040</v>
      </c>
      <c r="B430" t="s">
        <v>2041</v>
      </c>
      <c r="C430">
        <v>31658</v>
      </c>
      <c r="D430">
        <v>342</v>
      </c>
      <c r="E430">
        <v>39440</v>
      </c>
      <c r="F430">
        <v>12</v>
      </c>
      <c r="G430">
        <v>25</v>
      </c>
      <c r="H430" t="b">
        <v>0</v>
      </c>
      <c r="I430">
        <f t="shared" si="12"/>
        <v>0</v>
      </c>
      <c r="J430" t="str">
        <f t="shared" si="13"/>
        <v>300-450 (Poor)</v>
      </c>
      <c r="K430" s="1"/>
    </row>
    <row r="431" spans="1:11" x14ac:dyDescent="0.35">
      <c r="A431" t="s">
        <v>273</v>
      </c>
      <c r="B431" t="s">
        <v>274</v>
      </c>
      <c r="C431">
        <v>135518</v>
      </c>
      <c r="D431">
        <v>361</v>
      </c>
      <c r="E431">
        <v>39434</v>
      </c>
      <c r="F431">
        <v>35</v>
      </c>
      <c r="G431">
        <v>50</v>
      </c>
      <c r="H431" t="b">
        <v>0</v>
      </c>
      <c r="I431">
        <f t="shared" si="12"/>
        <v>0</v>
      </c>
      <c r="J431" t="str">
        <f t="shared" si="13"/>
        <v>300-450 (Poor)</v>
      </c>
      <c r="K431" s="1"/>
    </row>
    <row r="432" spans="1:11" x14ac:dyDescent="0.35">
      <c r="A432" t="s">
        <v>3305</v>
      </c>
      <c r="B432" t="s">
        <v>3306</v>
      </c>
      <c r="C432">
        <v>47927</v>
      </c>
      <c r="D432">
        <v>795</v>
      </c>
      <c r="E432">
        <v>39427</v>
      </c>
      <c r="F432">
        <v>4</v>
      </c>
      <c r="G432">
        <v>50</v>
      </c>
      <c r="H432" t="b">
        <v>0</v>
      </c>
      <c r="I432">
        <f t="shared" si="12"/>
        <v>0</v>
      </c>
      <c r="J432" t="str">
        <f t="shared" si="13"/>
        <v>751-850 (Excellent)</v>
      </c>
      <c r="K432" s="1"/>
    </row>
    <row r="433" spans="1:11" x14ac:dyDescent="0.35">
      <c r="A433" t="s">
        <v>2455</v>
      </c>
      <c r="B433" t="s">
        <v>2456</v>
      </c>
      <c r="C433">
        <v>116563</v>
      </c>
      <c r="D433">
        <v>440</v>
      </c>
      <c r="E433">
        <v>39426</v>
      </c>
      <c r="F433">
        <v>24</v>
      </c>
      <c r="G433">
        <v>50</v>
      </c>
      <c r="H433" t="b">
        <v>0</v>
      </c>
      <c r="I433">
        <f t="shared" si="12"/>
        <v>0</v>
      </c>
      <c r="J433" t="str">
        <f t="shared" si="13"/>
        <v>300-450 (Poor)</v>
      </c>
      <c r="K433" s="1"/>
    </row>
    <row r="434" spans="1:11" x14ac:dyDescent="0.35">
      <c r="A434" t="s">
        <v>3833</v>
      </c>
      <c r="B434" t="s">
        <v>3834</v>
      </c>
      <c r="C434">
        <v>141777</v>
      </c>
      <c r="D434">
        <v>735</v>
      </c>
      <c r="E434">
        <v>39425</v>
      </c>
      <c r="F434">
        <v>33</v>
      </c>
      <c r="G434">
        <v>75</v>
      </c>
      <c r="H434" t="b">
        <v>1</v>
      </c>
      <c r="I434">
        <f t="shared" si="12"/>
        <v>1</v>
      </c>
      <c r="J434" t="str">
        <f t="shared" si="13"/>
        <v>601-750 (Good)</v>
      </c>
      <c r="K434" s="1"/>
    </row>
    <row r="435" spans="1:11" x14ac:dyDescent="0.35">
      <c r="A435" t="s">
        <v>2561</v>
      </c>
      <c r="B435" t="s">
        <v>2562</v>
      </c>
      <c r="C435">
        <v>46299</v>
      </c>
      <c r="D435">
        <v>337</v>
      </c>
      <c r="E435">
        <v>39353</v>
      </c>
      <c r="F435">
        <v>24</v>
      </c>
      <c r="G435">
        <v>25</v>
      </c>
      <c r="H435" t="b">
        <v>0</v>
      </c>
      <c r="I435">
        <f t="shared" si="12"/>
        <v>0</v>
      </c>
      <c r="J435" t="str">
        <f t="shared" si="13"/>
        <v>300-450 (Poor)</v>
      </c>
      <c r="K435" s="1"/>
    </row>
    <row r="436" spans="1:11" x14ac:dyDescent="0.35">
      <c r="A436" t="s">
        <v>861</v>
      </c>
      <c r="B436" t="s">
        <v>862</v>
      </c>
      <c r="C436">
        <v>38981</v>
      </c>
      <c r="D436">
        <v>743</v>
      </c>
      <c r="E436">
        <v>39346</v>
      </c>
      <c r="F436">
        <v>30</v>
      </c>
      <c r="G436">
        <v>60</v>
      </c>
      <c r="H436" t="b">
        <v>1</v>
      </c>
      <c r="I436">
        <f t="shared" si="12"/>
        <v>1</v>
      </c>
      <c r="J436" t="str">
        <f t="shared" si="13"/>
        <v>601-750 (Good)</v>
      </c>
      <c r="K436" s="1"/>
    </row>
    <row r="437" spans="1:11" x14ac:dyDescent="0.35">
      <c r="A437" t="s">
        <v>1064</v>
      </c>
      <c r="B437" t="s">
        <v>1065</v>
      </c>
      <c r="C437">
        <v>66265</v>
      </c>
      <c r="D437">
        <v>582</v>
      </c>
      <c r="E437">
        <v>39318</v>
      </c>
      <c r="F437">
        <v>7</v>
      </c>
      <c r="G437">
        <v>45</v>
      </c>
      <c r="H437" t="b">
        <v>0</v>
      </c>
      <c r="I437">
        <f t="shared" si="12"/>
        <v>0</v>
      </c>
      <c r="J437" t="str">
        <f t="shared" si="13"/>
        <v>451-600 (Fair)</v>
      </c>
      <c r="K437" s="1"/>
    </row>
    <row r="438" spans="1:11" x14ac:dyDescent="0.35">
      <c r="A438" t="s">
        <v>2332</v>
      </c>
      <c r="B438" t="s">
        <v>2333</v>
      </c>
      <c r="C438">
        <v>128669</v>
      </c>
      <c r="D438">
        <v>656</v>
      </c>
      <c r="E438">
        <v>39305</v>
      </c>
      <c r="F438">
        <v>39</v>
      </c>
      <c r="G438">
        <v>65</v>
      </c>
      <c r="H438" t="b">
        <v>1</v>
      </c>
      <c r="I438">
        <f t="shared" si="12"/>
        <v>1</v>
      </c>
      <c r="J438" t="str">
        <f t="shared" si="13"/>
        <v>601-750 (Good)</v>
      </c>
      <c r="K438" s="1"/>
    </row>
    <row r="439" spans="1:11" x14ac:dyDescent="0.35">
      <c r="A439" t="s">
        <v>2668</v>
      </c>
      <c r="B439" t="s">
        <v>2669</v>
      </c>
      <c r="C439">
        <v>43710</v>
      </c>
      <c r="D439">
        <v>451</v>
      </c>
      <c r="E439">
        <v>39288</v>
      </c>
      <c r="F439">
        <v>0</v>
      </c>
      <c r="G439">
        <v>10</v>
      </c>
      <c r="H439" t="b">
        <v>0</v>
      </c>
      <c r="I439">
        <f t="shared" si="12"/>
        <v>0</v>
      </c>
      <c r="J439" t="str">
        <f t="shared" si="13"/>
        <v>451-600 (Fair)</v>
      </c>
      <c r="K439" s="1"/>
    </row>
    <row r="440" spans="1:11" x14ac:dyDescent="0.35">
      <c r="A440" t="s">
        <v>129</v>
      </c>
      <c r="B440" t="s">
        <v>130</v>
      </c>
      <c r="C440">
        <v>75082</v>
      </c>
      <c r="D440">
        <v>698</v>
      </c>
      <c r="E440">
        <v>39278</v>
      </c>
      <c r="F440">
        <v>1</v>
      </c>
      <c r="G440">
        <v>50</v>
      </c>
      <c r="H440" t="b">
        <v>0</v>
      </c>
      <c r="I440">
        <f t="shared" si="12"/>
        <v>0</v>
      </c>
      <c r="J440" t="str">
        <f t="shared" si="13"/>
        <v>601-750 (Good)</v>
      </c>
      <c r="K440" s="1"/>
    </row>
    <row r="441" spans="1:11" x14ac:dyDescent="0.35">
      <c r="A441" t="s">
        <v>420</v>
      </c>
      <c r="B441" t="s">
        <v>421</v>
      </c>
      <c r="C441">
        <v>50730</v>
      </c>
      <c r="D441">
        <v>726</v>
      </c>
      <c r="E441">
        <v>39253</v>
      </c>
      <c r="F441">
        <v>19</v>
      </c>
      <c r="G441">
        <v>60</v>
      </c>
      <c r="H441" t="b">
        <v>1</v>
      </c>
      <c r="I441">
        <f t="shared" si="12"/>
        <v>1</v>
      </c>
      <c r="J441" t="str">
        <f t="shared" si="13"/>
        <v>601-750 (Good)</v>
      </c>
      <c r="K441" s="1"/>
    </row>
    <row r="442" spans="1:11" x14ac:dyDescent="0.35">
      <c r="A442" t="s">
        <v>406</v>
      </c>
      <c r="B442" t="s">
        <v>407</v>
      </c>
      <c r="C442">
        <v>64973</v>
      </c>
      <c r="D442">
        <v>520</v>
      </c>
      <c r="E442">
        <v>39230</v>
      </c>
      <c r="F442">
        <v>22</v>
      </c>
      <c r="G442">
        <v>35</v>
      </c>
      <c r="H442" t="b">
        <v>0</v>
      </c>
      <c r="I442">
        <f t="shared" si="12"/>
        <v>0</v>
      </c>
      <c r="J442" t="str">
        <f t="shared" si="13"/>
        <v>451-600 (Fair)</v>
      </c>
      <c r="K442" s="1"/>
    </row>
    <row r="443" spans="1:11" x14ac:dyDescent="0.35">
      <c r="A443" t="s">
        <v>2352</v>
      </c>
      <c r="B443" t="s">
        <v>2353</v>
      </c>
      <c r="C443">
        <v>54164</v>
      </c>
      <c r="D443">
        <v>413</v>
      </c>
      <c r="E443">
        <v>39192</v>
      </c>
      <c r="F443">
        <v>30</v>
      </c>
      <c r="G443">
        <v>35</v>
      </c>
      <c r="H443" t="b">
        <v>0</v>
      </c>
      <c r="I443">
        <f t="shared" si="12"/>
        <v>0</v>
      </c>
      <c r="J443" t="str">
        <f t="shared" si="13"/>
        <v>300-450 (Poor)</v>
      </c>
      <c r="K443" s="1"/>
    </row>
    <row r="444" spans="1:11" x14ac:dyDescent="0.35">
      <c r="A444" t="s">
        <v>1103</v>
      </c>
      <c r="B444" t="s">
        <v>1104</v>
      </c>
      <c r="C444">
        <v>148479</v>
      </c>
      <c r="D444">
        <v>675</v>
      </c>
      <c r="E444">
        <v>39152</v>
      </c>
      <c r="F444">
        <v>15</v>
      </c>
      <c r="G444">
        <v>75</v>
      </c>
      <c r="H444" t="b">
        <v>1</v>
      </c>
      <c r="I444">
        <f t="shared" si="12"/>
        <v>1</v>
      </c>
      <c r="J444" t="str">
        <f t="shared" si="13"/>
        <v>601-750 (Good)</v>
      </c>
      <c r="K444" s="1"/>
    </row>
    <row r="445" spans="1:11" x14ac:dyDescent="0.35">
      <c r="A445" t="s">
        <v>2341</v>
      </c>
      <c r="B445" t="s">
        <v>2342</v>
      </c>
      <c r="C445">
        <v>105243</v>
      </c>
      <c r="D445">
        <v>388</v>
      </c>
      <c r="E445">
        <v>39149</v>
      </c>
      <c r="F445">
        <v>1</v>
      </c>
      <c r="G445">
        <v>35</v>
      </c>
      <c r="H445" t="b">
        <v>0</v>
      </c>
      <c r="I445">
        <f t="shared" si="12"/>
        <v>0</v>
      </c>
      <c r="J445" t="str">
        <f t="shared" si="13"/>
        <v>300-450 (Poor)</v>
      </c>
      <c r="K445" s="1"/>
    </row>
    <row r="446" spans="1:11" x14ac:dyDescent="0.35">
      <c r="A446" t="s">
        <v>1428</v>
      </c>
      <c r="B446" t="s">
        <v>1429</v>
      </c>
      <c r="C446">
        <v>139278</v>
      </c>
      <c r="D446">
        <v>670</v>
      </c>
      <c r="E446">
        <v>39080</v>
      </c>
      <c r="F446">
        <v>30</v>
      </c>
      <c r="G446">
        <v>75</v>
      </c>
      <c r="H446" t="b">
        <v>1</v>
      </c>
      <c r="I446">
        <f t="shared" si="12"/>
        <v>1</v>
      </c>
      <c r="J446" t="str">
        <f t="shared" si="13"/>
        <v>601-750 (Good)</v>
      </c>
      <c r="K446" s="1"/>
    </row>
    <row r="447" spans="1:11" x14ac:dyDescent="0.35">
      <c r="A447" t="s">
        <v>101</v>
      </c>
      <c r="B447" t="s">
        <v>102</v>
      </c>
      <c r="C447">
        <v>121506</v>
      </c>
      <c r="D447">
        <v>482</v>
      </c>
      <c r="E447">
        <v>39049</v>
      </c>
      <c r="F447">
        <v>16</v>
      </c>
      <c r="G447">
        <v>50</v>
      </c>
      <c r="H447" t="b">
        <v>0</v>
      </c>
      <c r="I447">
        <f t="shared" si="12"/>
        <v>0</v>
      </c>
      <c r="J447" t="str">
        <f t="shared" si="13"/>
        <v>451-600 (Fair)</v>
      </c>
      <c r="K447" s="1"/>
    </row>
    <row r="448" spans="1:11" x14ac:dyDescent="0.35">
      <c r="A448" t="s">
        <v>309</v>
      </c>
      <c r="B448" t="s">
        <v>310</v>
      </c>
      <c r="C448">
        <v>90142</v>
      </c>
      <c r="D448">
        <v>773</v>
      </c>
      <c r="E448">
        <v>39032</v>
      </c>
      <c r="F448">
        <v>35</v>
      </c>
      <c r="G448">
        <v>75</v>
      </c>
      <c r="H448" t="b">
        <v>1</v>
      </c>
      <c r="I448">
        <f t="shared" si="12"/>
        <v>1</v>
      </c>
      <c r="J448" t="str">
        <f t="shared" si="13"/>
        <v>751-850 (Excellent)</v>
      </c>
      <c r="K448" s="1"/>
    </row>
    <row r="449" spans="1:11" x14ac:dyDescent="0.35">
      <c r="A449" t="s">
        <v>2816</v>
      </c>
      <c r="B449" t="s">
        <v>2817</v>
      </c>
      <c r="C449">
        <v>96698</v>
      </c>
      <c r="D449">
        <v>669</v>
      </c>
      <c r="E449">
        <v>39018</v>
      </c>
      <c r="F449">
        <v>38</v>
      </c>
      <c r="G449">
        <v>55</v>
      </c>
      <c r="H449" t="b">
        <v>0</v>
      </c>
      <c r="I449">
        <f t="shared" si="12"/>
        <v>0</v>
      </c>
      <c r="J449" t="str">
        <f t="shared" si="13"/>
        <v>601-750 (Good)</v>
      </c>
      <c r="K449" s="1"/>
    </row>
    <row r="450" spans="1:11" x14ac:dyDescent="0.35">
      <c r="A450" t="s">
        <v>3835</v>
      </c>
      <c r="B450" t="s">
        <v>3836</v>
      </c>
      <c r="C450">
        <v>115814</v>
      </c>
      <c r="D450">
        <v>792</v>
      </c>
      <c r="E450">
        <v>38930</v>
      </c>
      <c r="F450">
        <v>8</v>
      </c>
      <c r="G450">
        <v>80</v>
      </c>
      <c r="H450" t="b">
        <v>1</v>
      </c>
      <c r="I450">
        <f t="shared" si="12"/>
        <v>1</v>
      </c>
      <c r="J450" t="str">
        <f t="shared" si="13"/>
        <v>751-850 (Excellent)</v>
      </c>
      <c r="K450" s="1"/>
    </row>
    <row r="451" spans="1:11" x14ac:dyDescent="0.35">
      <c r="A451" t="s">
        <v>2330</v>
      </c>
      <c r="B451" t="s">
        <v>2331</v>
      </c>
      <c r="C451">
        <v>143830</v>
      </c>
      <c r="D451">
        <v>484</v>
      </c>
      <c r="E451">
        <v>38751</v>
      </c>
      <c r="F451">
        <v>32</v>
      </c>
      <c r="G451">
        <v>50</v>
      </c>
      <c r="H451" t="b">
        <v>0</v>
      </c>
      <c r="I451">
        <f t="shared" si="12"/>
        <v>0</v>
      </c>
      <c r="J451" t="str">
        <f t="shared" si="13"/>
        <v>451-600 (Fair)</v>
      </c>
      <c r="K451" s="1"/>
    </row>
    <row r="452" spans="1:11" x14ac:dyDescent="0.35">
      <c r="A452" t="s">
        <v>1543</v>
      </c>
      <c r="B452" t="s">
        <v>1544</v>
      </c>
      <c r="C452">
        <v>94799</v>
      </c>
      <c r="D452">
        <v>621</v>
      </c>
      <c r="E452">
        <v>38736</v>
      </c>
      <c r="F452">
        <v>5</v>
      </c>
      <c r="G452">
        <v>50</v>
      </c>
      <c r="H452" t="b">
        <v>0</v>
      </c>
      <c r="I452">
        <f t="shared" ref="I452:I515" si="14">--H452</f>
        <v>0</v>
      </c>
      <c r="J452" t="str">
        <f t="shared" ref="J452:J515" si="15">IF(D452&gt;750, "751-850 (Excellent)", IF(D452&gt;600, "601-750 (Good)", IF(D452&gt;450, "451-600 (Fair)", "300-450 (Poor)")))</f>
        <v>601-750 (Good)</v>
      </c>
      <c r="K452" s="1"/>
    </row>
    <row r="453" spans="1:11" x14ac:dyDescent="0.35">
      <c r="A453" t="s">
        <v>992</v>
      </c>
      <c r="B453" t="s">
        <v>993</v>
      </c>
      <c r="C453">
        <v>31025</v>
      </c>
      <c r="D453">
        <v>850</v>
      </c>
      <c r="E453">
        <v>38676</v>
      </c>
      <c r="F453">
        <v>16</v>
      </c>
      <c r="G453">
        <v>65</v>
      </c>
      <c r="H453" t="b">
        <v>1</v>
      </c>
      <c r="I453">
        <f t="shared" si="14"/>
        <v>1</v>
      </c>
      <c r="J453" t="str">
        <f t="shared" si="15"/>
        <v>751-850 (Excellent)</v>
      </c>
      <c r="K453" s="1"/>
    </row>
    <row r="454" spans="1:11" x14ac:dyDescent="0.35">
      <c r="A454" t="s">
        <v>2718</v>
      </c>
      <c r="B454" t="s">
        <v>2719</v>
      </c>
      <c r="C454">
        <v>116200</v>
      </c>
      <c r="D454">
        <v>606</v>
      </c>
      <c r="E454">
        <v>38623</v>
      </c>
      <c r="F454">
        <v>12</v>
      </c>
      <c r="G454">
        <v>65</v>
      </c>
      <c r="H454" t="b">
        <v>1</v>
      </c>
      <c r="I454">
        <f t="shared" si="14"/>
        <v>1</v>
      </c>
      <c r="J454" t="str">
        <f t="shared" si="15"/>
        <v>601-750 (Good)</v>
      </c>
      <c r="K454" s="1"/>
    </row>
    <row r="455" spans="1:11" x14ac:dyDescent="0.35">
      <c r="A455" t="s">
        <v>657</v>
      </c>
      <c r="B455" t="s">
        <v>658</v>
      </c>
      <c r="C455">
        <v>135840</v>
      </c>
      <c r="D455">
        <v>405</v>
      </c>
      <c r="E455">
        <v>38611</v>
      </c>
      <c r="F455">
        <v>7</v>
      </c>
      <c r="G455">
        <v>45</v>
      </c>
      <c r="H455" t="b">
        <v>0</v>
      </c>
      <c r="I455">
        <f t="shared" si="14"/>
        <v>0</v>
      </c>
      <c r="J455" t="str">
        <f t="shared" si="15"/>
        <v>300-450 (Poor)</v>
      </c>
      <c r="K455" s="1"/>
    </row>
    <row r="456" spans="1:11" x14ac:dyDescent="0.35">
      <c r="A456" t="s">
        <v>1499</v>
      </c>
      <c r="B456" t="s">
        <v>1500</v>
      </c>
      <c r="C456">
        <v>70687</v>
      </c>
      <c r="D456">
        <v>604</v>
      </c>
      <c r="E456">
        <v>38586</v>
      </c>
      <c r="F456">
        <v>25</v>
      </c>
      <c r="G456">
        <v>50</v>
      </c>
      <c r="H456" t="b">
        <v>0</v>
      </c>
      <c r="I456">
        <f t="shared" si="14"/>
        <v>0</v>
      </c>
      <c r="J456" t="str">
        <f t="shared" si="15"/>
        <v>601-750 (Good)</v>
      </c>
      <c r="K456" s="1"/>
    </row>
    <row r="457" spans="1:11" x14ac:dyDescent="0.35">
      <c r="A457" t="s">
        <v>2615</v>
      </c>
      <c r="B457" t="s">
        <v>2616</v>
      </c>
      <c r="C457">
        <v>130238</v>
      </c>
      <c r="D457">
        <v>683</v>
      </c>
      <c r="E457">
        <v>38574</v>
      </c>
      <c r="F457">
        <v>30</v>
      </c>
      <c r="G457">
        <v>75</v>
      </c>
      <c r="H457" t="b">
        <v>1</v>
      </c>
      <c r="I457">
        <f t="shared" si="14"/>
        <v>1</v>
      </c>
      <c r="J457" t="str">
        <f t="shared" si="15"/>
        <v>601-750 (Good)</v>
      </c>
      <c r="K457" s="1"/>
    </row>
    <row r="458" spans="1:11" x14ac:dyDescent="0.35">
      <c r="A458" t="s">
        <v>2818</v>
      </c>
      <c r="B458" t="s">
        <v>2819</v>
      </c>
      <c r="C458">
        <v>122459</v>
      </c>
      <c r="D458">
        <v>771</v>
      </c>
      <c r="E458">
        <v>38574</v>
      </c>
      <c r="F458">
        <v>33</v>
      </c>
      <c r="G458">
        <v>85</v>
      </c>
      <c r="H458" t="b">
        <v>1</v>
      </c>
      <c r="I458">
        <f t="shared" si="14"/>
        <v>1</v>
      </c>
      <c r="J458" t="str">
        <f t="shared" si="15"/>
        <v>751-850 (Excellent)</v>
      </c>
      <c r="K458" s="1"/>
    </row>
    <row r="459" spans="1:11" x14ac:dyDescent="0.35">
      <c r="A459" t="s">
        <v>3500</v>
      </c>
      <c r="B459" t="s">
        <v>3501</v>
      </c>
      <c r="C459">
        <v>69893</v>
      </c>
      <c r="D459">
        <v>691</v>
      </c>
      <c r="E459">
        <v>38546</v>
      </c>
      <c r="F459">
        <v>24</v>
      </c>
      <c r="G459">
        <v>60</v>
      </c>
      <c r="H459" t="b">
        <v>1</v>
      </c>
      <c r="I459">
        <f t="shared" si="14"/>
        <v>1</v>
      </c>
      <c r="J459" t="str">
        <f t="shared" si="15"/>
        <v>601-750 (Good)</v>
      </c>
      <c r="K459" s="1"/>
    </row>
    <row r="460" spans="1:11" x14ac:dyDescent="0.35">
      <c r="A460" t="s">
        <v>1275</v>
      </c>
      <c r="B460" t="s">
        <v>1276</v>
      </c>
      <c r="C460">
        <v>119065</v>
      </c>
      <c r="D460">
        <v>473</v>
      </c>
      <c r="E460">
        <v>38542</v>
      </c>
      <c r="F460">
        <v>3</v>
      </c>
      <c r="G460">
        <v>40</v>
      </c>
      <c r="H460" t="b">
        <v>0</v>
      </c>
      <c r="I460">
        <f t="shared" si="14"/>
        <v>0</v>
      </c>
      <c r="J460" t="str">
        <f t="shared" si="15"/>
        <v>451-600 (Fair)</v>
      </c>
      <c r="K460" s="1"/>
    </row>
    <row r="461" spans="1:11" x14ac:dyDescent="0.35">
      <c r="A461" t="s">
        <v>1931</v>
      </c>
      <c r="B461" t="s">
        <v>1932</v>
      </c>
      <c r="C461">
        <v>117747</v>
      </c>
      <c r="D461">
        <v>418</v>
      </c>
      <c r="E461">
        <v>38541</v>
      </c>
      <c r="F461">
        <v>23</v>
      </c>
      <c r="G461">
        <v>50</v>
      </c>
      <c r="H461" t="b">
        <v>0</v>
      </c>
      <c r="I461">
        <f t="shared" si="14"/>
        <v>0</v>
      </c>
      <c r="J461" t="str">
        <f t="shared" si="15"/>
        <v>300-450 (Poor)</v>
      </c>
      <c r="K461" s="1"/>
    </row>
    <row r="462" spans="1:11" x14ac:dyDescent="0.35">
      <c r="A462" t="s">
        <v>424</v>
      </c>
      <c r="B462" t="s">
        <v>425</v>
      </c>
      <c r="C462">
        <v>30425</v>
      </c>
      <c r="D462">
        <v>332</v>
      </c>
      <c r="E462">
        <v>38523</v>
      </c>
      <c r="F462">
        <v>7</v>
      </c>
      <c r="G462">
        <v>20</v>
      </c>
      <c r="H462" t="b">
        <v>0</v>
      </c>
      <c r="I462">
        <f t="shared" si="14"/>
        <v>0</v>
      </c>
      <c r="J462" t="str">
        <f t="shared" si="15"/>
        <v>300-450 (Poor)</v>
      </c>
      <c r="K462" s="1"/>
    </row>
    <row r="463" spans="1:11" x14ac:dyDescent="0.35">
      <c r="A463" t="s">
        <v>773</v>
      </c>
      <c r="B463" t="s">
        <v>774</v>
      </c>
      <c r="C463">
        <v>82565</v>
      </c>
      <c r="D463">
        <v>466</v>
      </c>
      <c r="E463">
        <v>38503</v>
      </c>
      <c r="F463">
        <v>13</v>
      </c>
      <c r="G463">
        <v>40</v>
      </c>
      <c r="H463" t="b">
        <v>0</v>
      </c>
      <c r="I463">
        <f t="shared" si="14"/>
        <v>0</v>
      </c>
      <c r="J463" t="str">
        <f t="shared" si="15"/>
        <v>451-600 (Fair)</v>
      </c>
      <c r="K463" s="1"/>
    </row>
    <row r="464" spans="1:11" x14ac:dyDescent="0.35">
      <c r="A464" t="s">
        <v>2188</v>
      </c>
      <c r="B464" t="s">
        <v>2189</v>
      </c>
      <c r="C464">
        <v>92402</v>
      </c>
      <c r="D464">
        <v>380</v>
      </c>
      <c r="E464">
        <v>38473</v>
      </c>
      <c r="F464">
        <v>24</v>
      </c>
      <c r="G464">
        <v>40</v>
      </c>
      <c r="H464" t="b">
        <v>0</v>
      </c>
      <c r="I464">
        <f t="shared" si="14"/>
        <v>0</v>
      </c>
      <c r="J464" t="str">
        <f t="shared" si="15"/>
        <v>300-450 (Poor)</v>
      </c>
      <c r="K464" s="1"/>
    </row>
    <row r="465" spans="1:11" x14ac:dyDescent="0.35">
      <c r="A465" t="s">
        <v>3874</v>
      </c>
      <c r="B465" t="s">
        <v>3875</v>
      </c>
      <c r="C465">
        <v>70966</v>
      </c>
      <c r="D465">
        <v>305</v>
      </c>
      <c r="E465">
        <v>38462</v>
      </c>
      <c r="F465">
        <v>23</v>
      </c>
      <c r="G465">
        <v>35</v>
      </c>
      <c r="H465" t="b">
        <v>0</v>
      </c>
      <c r="I465">
        <f t="shared" si="14"/>
        <v>0</v>
      </c>
      <c r="J465" t="str">
        <f t="shared" si="15"/>
        <v>300-450 (Poor)</v>
      </c>
      <c r="K465" s="1"/>
    </row>
    <row r="466" spans="1:11" x14ac:dyDescent="0.35">
      <c r="A466" t="s">
        <v>1784</v>
      </c>
      <c r="B466" t="s">
        <v>1785</v>
      </c>
      <c r="C466">
        <v>58906</v>
      </c>
      <c r="D466">
        <v>686</v>
      </c>
      <c r="E466">
        <v>38445</v>
      </c>
      <c r="F466">
        <v>10</v>
      </c>
      <c r="G466">
        <v>60</v>
      </c>
      <c r="H466" t="b">
        <v>1</v>
      </c>
      <c r="I466">
        <f t="shared" si="14"/>
        <v>1</v>
      </c>
      <c r="J466" t="str">
        <f t="shared" si="15"/>
        <v>601-750 (Good)</v>
      </c>
      <c r="K466" s="1"/>
    </row>
    <row r="467" spans="1:11" x14ac:dyDescent="0.35">
      <c r="A467" t="s">
        <v>3625</v>
      </c>
      <c r="B467" t="s">
        <v>3626</v>
      </c>
      <c r="C467">
        <v>133150</v>
      </c>
      <c r="D467">
        <v>458</v>
      </c>
      <c r="E467">
        <v>38435</v>
      </c>
      <c r="F467">
        <v>2</v>
      </c>
      <c r="G467">
        <v>40</v>
      </c>
      <c r="H467" t="b">
        <v>0</v>
      </c>
      <c r="I467">
        <f t="shared" si="14"/>
        <v>0</v>
      </c>
      <c r="J467" t="str">
        <f t="shared" si="15"/>
        <v>451-600 (Fair)</v>
      </c>
      <c r="K467" s="1"/>
    </row>
    <row r="468" spans="1:11" x14ac:dyDescent="0.35">
      <c r="A468" t="s">
        <v>2346</v>
      </c>
      <c r="B468" t="s">
        <v>2347</v>
      </c>
      <c r="C468">
        <v>92746</v>
      </c>
      <c r="D468">
        <v>372</v>
      </c>
      <c r="E468">
        <v>38299</v>
      </c>
      <c r="F468">
        <v>5</v>
      </c>
      <c r="G468">
        <v>35</v>
      </c>
      <c r="H468" t="b">
        <v>0</v>
      </c>
      <c r="I468">
        <f t="shared" si="14"/>
        <v>0</v>
      </c>
      <c r="J468" t="str">
        <f t="shared" si="15"/>
        <v>300-450 (Poor)</v>
      </c>
      <c r="K468" s="1"/>
    </row>
    <row r="469" spans="1:11" x14ac:dyDescent="0.35">
      <c r="A469" t="s">
        <v>835</v>
      </c>
      <c r="B469" t="s">
        <v>836</v>
      </c>
      <c r="C469">
        <v>37492</v>
      </c>
      <c r="D469">
        <v>794</v>
      </c>
      <c r="E469">
        <v>38286</v>
      </c>
      <c r="F469">
        <v>28</v>
      </c>
      <c r="G469">
        <v>60</v>
      </c>
      <c r="H469" t="b">
        <v>1</v>
      </c>
      <c r="I469">
        <f t="shared" si="14"/>
        <v>1</v>
      </c>
      <c r="J469" t="str">
        <f t="shared" si="15"/>
        <v>751-850 (Excellent)</v>
      </c>
      <c r="K469" s="1"/>
    </row>
    <row r="470" spans="1:11" x14ac:dyDescent="0.35">
      <c r="A470" t="s">
        <v>2343</v>
      </c>
      <c r="B470" t="s">
        <v>260</v>
      </c>
      <c r="C470">
        <v>67268</v>
      </c>
      <c r="D470">
        <v>717</v>
      </c>
      <c r="E470">
        <v>38243</v>
      </c>
      <c r="F470">
        <v>34</v>
      </c>
      <c r="G470">
        <v>60</v>
      </c>
      <c r="H470" t="b">
        <v>1</v>
      </c>
      <c r="I470">
        <f t="shared" si="14"/>
        <v>1</v>
      </c>
      <c r="J470" t="str">
        <f t="shared" si="15"/>
        <v>601-750 (Good)</v>
      </c>
      <c r="K470" s="1"/>
    </row>
    <row r="471" spans="1:11" x14ac:dyDescent="0.35">
      <c r="A471" t="s">
        <v>448</v>
      </c>
      <c r="B471" t="s">
        <v>449</v>
      </c>
      <c r="C471">
        <v>111959</v>
      </c>
      <c r="D471">
        <v>605</v>
      </c>
      <c r="E471">
        <v>38221</v>
      </c>
      <c r="F471">
        <v>38</v>
      </c>
      <c r="G471">
        <v>65</v>
      </c>
      <c r="H471" t="b">
        <v>1</v>
      </c>
      <c r="I471">
        <f t="shared" si="14"/>
        <v>1</v>
      </c>
      <c r="J471" t="str">
        <f t="shared" si="15"/>
        <v>601-750 (Good)</v>
      </c>
      <c r="K471" s="1"/>
    </row>
    <row r="472" spans="1:11" x14ac:dyDescent="0.35">
      <c r="A472" t="s">
        <v>707</v>
      </c>
      <c r="B472" t="s">
        <v>708</v>
      </c>
      <c r="C472">
        <v>62591</v>
      </c>
      <c r="D472">
        <v>660</v>
      </c>
      <c r="E472">
        <v>38201</v>
      </c>
      <c r="F472">
        <v>36</v>
      </c>
      <c r="G472">
        <v>50</v>
      </c>
      <c r="H472" t="b">
        <v>0</v>
      </c>
      <c r="I472">
        <f t="shared" si="14"/>
        <v>0</v>
      </c>
      <c r="J472" t="str">
        <f t="shared" si="15"/>
        <v>601-750 (Good)</v>
      </c>
      <c r="K472" s="1"/>
    </row>
    <row r="473" spans="1:11" x14ac:dyDescent="0.35">
      <c r="A473" t="s">
        <v>2664</v>
      </c>
      <c r="B473" t="s">
        <v>2665</v>
      </c>
      <c r="C473">
        <v>72081</v>
      </c>
      <c r="D473">
        <v>462</v>
      </c>
      <c r="E473">
        <v>38200</v>
      </c>
      <c r="F473">
        <v>40</v>
      </c>
      <c r="G473">
        <v>35</v>
      </c>
      <c r="H473" t="b">
        <v>0</v>
      </c>
      <c r="I473">
        <f t="shared" si="14"/>
        <v>0</v>
      </c>
      <c r="J473" t="str">
        <f t="shared" si="15"/>
        <v>451-600 (Fair)</v>
      </c>
      <c r="K473" s="1"/>
    </row>
    <row r="474" spans="1:11" x14ac:dyDescent="0.35">
      <c r="A474" t="s">
        <v>1989</v>
      </c>
      <c r="B474" t="s">
        <v>1990</v>
      </c>
      <c r="C474">
        <v>107607</v>
      </c>
      <c r="D474">
        <v>687</v>
      </c>
      <c r="E474">
        <v>38195</v>
      </c>
      <c r="F474">
        <v>17</v>
      </c>
      <c r="G474">
        <v>75</v>
      </c>
      <c r="H474" t="b">
        <v>1</v>
      </c>
      <c r="I474">
        <f t="shared" si="14"/>
        <v>1</v>
      </c>
      <c r="J474" t="str">
        <f t="shared" si="15"/>
        <v>601-750 (Good)</v>
      </c>
      <c r="K474" s="1"/>
    </row>
    <row r="475" spans="1:11" x14ac:dyDescent="0.35">
      <c r="A475" t="s">
        <v>719</v>
      </c>
      <c r="B475" t="s">
        <v>720</v>
      </c>
      <c r="C475">
        <v>85296</v>
      </c>
      <c r="D475">
        <v>700</v>
      </c>
      <c r="E475">
        <v>38190</v>
      </c>
      <c r="F475">
        <v>2</v>
      </c>
      <c r="G475">
        <v>55</v>
      </c>
      <c r="H475" t="b">
        <v>0</v>
      </c>
      <c r="I475">
        <f t="shared" si="14"/>
        <v>0</v>
      </c>
      <c r="J475" t="str">
        <f t="shared" si="15"/>
        <v>601-750 (Good)</v>
      </c>
      <c r="K475" s="1"/>
    </row>
    <row r="476" spans="1:11" x14ac:dyDescent="0.35">
      <c r="A476" t="s">
        <v>3357</v>
      </c>
      <c r="B476" t="s">
        <v>3358</v>
      </c>
      <c r="C476">
        <v>77953</v>
      </c>
      <c r="D476">
        <v>364</v>
      </c>
      <c r="E476">
        <v>38169</v>
      </c>
      <c r="F476">
        <v>6</v>
      </c>
      <c r="G476">
        <v>35</v>
      </c>
      <c r="H476" t="b">
        <v>0</v>
      </c>
      <c r="I476">
        <f t="shared" si="14"/>
        <v>0</v>
      </c>
      <c r="J476" t="str">
        <f t="shared" si="15"/>
        <v>300-450 (Poor)</v>
      </c>
      <c r="K476" s="1"/>
    </row>
    <row r="477" spans="1:11" x14ac:dyDescent="0.35">
      <c r="A477" t="s">
        <v>1899</v>
      </c>
      <c r="B477" t="s">
        <v>1900</v>
      </c>
      <c r="C477">
        <v>115215</v>
      </c>
      <c r="D477">
        <v>761</v>
      </c>
      <c r="E477">
        <v>38164</v>
      </c>
      <c r="F477">
        <v>13</v>
      </c>
      <c r="G477">
        <v>85</v>
      </c>
      <c r="H477" t="b">
        <v>1</v>
      </c>
      <c r="I477">
        <f t="shared" si="14"/>
        <v>1</v>
      </c>
      <c r="J477" t="str">
        <f t="shared" si="15"/>
        <v>751-850 (Excellent)</v>
      </c>
      <c r="K477" s="1"/>
    </row>
    <row r="478" spans="1:11" x14ac:dyDescent="0.35">
      <c r="A478" t="s">
        <v>2820</v>
      </c>
      <c r="B478" t="s">
        <v>2821</v>
      </c>
      <c r="C478">
        <v>65838</v>
      </c>
      <c r="D478">
        <v>521</v>
      </c>
      <c r="E478">
        <v>38154</v>
      </c>
      <c r="F478">
        <v>11</v>
      </c>
      <c r="G478">
        <v>35</v>
      </c>
      <c r="H478" t="b">
        <v>0</v>
      </c>
      <c r="I478">
        <f t="shared" si="14"/>
        <v>0</v>
      </c>
      <c r="J478" t="str">
        <f t="shared" si="15"/>
        <v>451-600 (Fair)</v>
      </c>
      <c r="K478" s="1"/>
    </row>
    <row r="479" spans="1:11" x14ac:dyDescent="0.35">
      <c r="A479" t="s">
        <v>2128</v>
      </c>
      <c r="B479" t="s">
        <v>2129</v>
      </c>
      <c r="C479">
        <v>74092</v>
      </c>
      <c r="D479">
        <v>456</v>
      </c>
      <c r="E479">
        <v>38152</v>
      </c>
      <c r="F479">
        <v>40</v>
      </c>
      <c r="G479">
        <v>35</v>
      </c>
      <c r="H479" t="b">
        <v>0</v>
      </c>
      <c r="I479">
        <f t="shared" si="14"/>
        <v>0</v>
      </c>
      <c r="J479" t="str">
        <f t="shared" si="15"/>
        <v>451-600 (Fair)</v>
      </c>
      <c r="K479" s="1"/>
    </row>
    <row r="480" spans="1:11" x14ac:dyDescent="0.35">
      <c r="A480" t="s">
        <v>753</v>
      </c>
      <c r="B480" t="s">
        <v>754</v>
      </c>
      <c r="C480">
        <v>42224</v>
      </c>
      <c r="D480">
        <v>451</v>
      </c>
      <c r="E480">
        <v>38132</v>
      </c>
      <c r="F480">
        <v>37</v>
      </c>
      <c r="G480">
        <v>25</v>
      </c>
      <c r="H480" t="b">
        <v>0</v>
      </c>
      <c r="I480">
        <f t="shared" si="14"/>
        <v>0</v>
      </c>
      <c r="J480" t="str">
        <f t="shared" si="15"/>
        <v>451-600 (Fair)</v>
      </c>
      <c r="K480" s="1"/>
    </row>
    <row r="481" spans="1:11" x14ac:dyDescent="0.35">
      <c r="A481" t="s">
        <v>281</v>
      </c>
      <c r="B481" t="s">
        <v>282</v>
      </c>
      <c r="C481">
        <v>38675</v>
      </c>
      <c r="D481">
        <v>446</v>
      </c>
      <c r="E481">
        <v>38114</v>
      </c>
      <c r="F481">
        <v>25</v>
      </c>
      <c r="G481">
        <v>25</v>
      </c>
      <c r="H481" t="b">
        <v>0</v>
      </c>
      <c r="I481">
        <f t="shared" si="14"/>
        <v>0</v>
      </c>
      <c r="J481" t="str">
        <f t="shared" si="15"/>
        <v>300-450 (Poor)</v>
      </c>
      <c r="K481" s="1"/>
    </row>
    <row r="482" spans="1:11" x14ac:dyDescent="0.35">
      <c r="A482" t="s">
        <v>699</v>
      </c>
      <c r="B482" t="s">
        <v>700</v>
      </c>
      <c r="C482">
        <v>74473</v>
      </c>
      <c r="D482">
        <v>652</v>
      </c>
      <c r="E482">
        <v>38070</v>
      </c>
      <c r="F482">
        <v>32</v>
      </c>
      <c r="G482">
        <v>50</v>
      </c>
      <c r="H482" t="b">
        <v>0</v>
      </c>
      <c r="I482">
        <f t="shared" si="14"/>
        <v>0</v>
      </c>
      <c r="J482" t="str">
        <f t="shared" si="15"/>
        <v>601-750 (Good)</v>
      </c>
      <c r="K482" s="1"/>
    </row>
    <row r="483" spans="1:11" x14ac:dyDescent="0.35">
      <c r="A483" t="s">
        <v>2728</v>
      </c>
      <c r="B483" t="s">
        <v>2729</v>
      </c>
      <c r="C483">
        <v>37104</v>
      </c>
      <c r="D483">
        <v>377</v>
      </c>
      <c r="E483">
        <v>38047</v>
      </c>
      <c r="F483">
        <v>5</v>
      </c>
      <c r="G483">
        <v>20</v>
      </c>
      <c r="H483" t="b">
        <v>0</v>
      </c>
      <c r="I483">
        <f t="shared" si="14"/>
        <v>0</v>
      </c>
      <c r="J483" t="str">
        <f t="shared" si="15"/>
        <v>300-450 (Poor)</v>
      </c>
      <c r="K483" s="1"/>
    </row>
    <row r="484" spans="1:11" x14ac:dyDescent="0.35">
      <c r="A484" t="s">
        <v>1404</v>
      </c>
      <c r="B484" t="s">
        <v>1405</v>
      </c>
      <c r="C484">
        <v>85108</v>
      </c>
      <c r="D484">
        <v>450</v>
      </c>
      <c r="E484">
        <v>38043</v>
      </c>
      <c r="F484">
        <v>28</v>
      </c>
      <c r="G484">
        <v>40</v>
      </c>
      <c r="H484" t="b">
        <v>0</v>
      </c>
      <c r="I484">
        <f t="shared" si="14"/>
        <v>0</v>
      </c>
      <c r="J484" t="str">
        <f t="shared" si="15"/>
        <v>300-450 (Poor)</v>
      </c>
      <c r="K484" s="1"/>
    </row>
    <row r="485" spans="1:11" x14ac:dyDescent="0.35">
      <c r="A485" t="s">
        <v>3689</v>
      </c>
      <c r="B485" t="s">
        <v>3690</v>
      </c>
      <c r="C485">
        <v>31947</v>
      </c>
      <c r="D485">
        <v>808</v>
      </c>
      <c r="E485">
        <v>37990</v>
      </c>
      <c r="F485">
        <v>40</v>
      </c>
      <c r="G485">
        <v>65</v>
      </c>
      <c r="H485" t="b">
        <v>1</v>
      </c>
      <c r="I485">
        <f t="shared" si="14"/>
        <v>1</v>
      </c>
      <c r="J485" t="str">
        <f t="shared" si="15"/>
        <v>751-850 (Excellent)</v>
      </c>
      <c r="K485" s="1"/>
    </row>
    <row r="486" spans="1:11" x14ac:dyDescent="0.35">
      <c r="A486" t="s">
        <v>532</v>
      </c>
      <c r="B486" t="s">
        <v>533</v>
      </c>
      <c r="C486">
        <v>92296</v>
      </c>
      <c r="D486">
        <v>466</v>
      </c>
      <c r="E486">
        <v>37959</v>
      </c>
      <c r="F486">
        <v>15</v>
      </c>
      <c r="G486">
        <v>40</v>
      </c>
      <c r="H486" t="b">
        <v>0</v>
      </c>
      <c r="I486">
        <f t="shared" si="14"/>
        <v>0</v>
      </c>
      <c r="J486" t="str">
        <f t="shared" si="15"/>
        <v>451-600 (Fair)</v>
      </c>
      <c r="K486" s="1"/>
    </row>
    <row r="487" spans="1:11" x14ac:dyDescent="0.35">
      <c r="A487" t="s">
        <v>303</v>
      </c>
      <c r="B487" t="s">
        <v>304</v>
      </c>
      <c r="C487">
        <v>145957</v>
      </c>
      <c r="D487">
        <v>775</v>
      </c>
      <c r="E487">
        <v>37944</v>
      </c>
      <c r="F487">
        <v>37</v>
      </c>
      <c r="G487">
        <v>85</v>
      </c>
      <c r="H487" t="b">
        <v>1</v>
      </c>
      <c r="I487">
        <f t="shared" si="14"/>
        <v>1</v>
      </c>
      <c r="J487" t="str">
        <f t="shared" si="15"/>
        <v>751-850 (Excellent)</v>
      </c>
      <c r="K487" s="1"/>
    </row>
    <row r="488" spans="1:11" x14ac:dyDescent="0.35">
      <c r="A488" t="s">
        <v>1019</v>
      </c>
      <c r="B488" t="s">
        <v>1020</v>
      </c>
      <c r="C488">
        <v>102512</v>
      </c>
      <c r="D488">
        <v>556</v>
      </c>
      <c r="E488">
        <v>37840</v>
      </c>
      <c r="F488">
        <v>36</v>
      </c>
      <c r="G488">
        <v>50</v>
      </c>
      <c r="H488" t="b">
        <v>0</v>
      </c>
      <c r="I488">
        <f t="shared" si="14"/>
        <v>0</v>
      </c>
      <c r="J488" t="str">
        <f t="shared" si="15"/>
        <v>451-600 (Fair)</v>
      </c>
      <c r="K488" s="1"/>
    </row>
    <row r="489" spans="1:11" x14ac:dyDescent="0.35">
      <c r="A489" t="s">
        <v>892</v>
      </c>
      <c r="B489" t="s">
        <v>893</v>
      </c>
      <c r="C489">
        <v>84948</v>
      </c>
      <c r="D489">
        <v>786</v>
      </c>
      <c r="E489">
        <v>37787</v>
      </c>
      <c r="F489">
        <v>0</v>
      </c>
      <c r="G489">
        <v>60</v>
      </c>
      <c r="H489" t="b">
        <v>1</v>
      </c>
      <c r="I489">
        <f t="shared" si="14"/>
        <v>1</v>
      </c>
      <c r="J489" t="str">
        <f t="shared" si="15"/>
        <v>751-850 (Excellent)</v>
      </c>
      <c r="K489" s="1"/>
    </row>
    <row r="490" spans="1:11" x14ac:dyDescent="0.35">
      <c r="A490" t="s">
        <v>2496</v>
      </c>
      <c r="B490" t="s">
        <v>2497</v>
      </c>
      <c r="C490">
        <v>142670</v>
      </c>
      <c r="D490">
        <v>397</v>
      </c>
      <c r="E490">
        <v>37758</v>
      </c>
      <c r="F490">
        <v>10</v>
      </c>
      <c r="G490">
        <v>50</v>
      </c>
      <c r="H490" t="b">
        <v>0</v>
      </c>
      <c r="I490">
        <f t="shared" si="14"/>
        <v>0</v>
      </c>
      <c r="J490" t="str">
        <f t="shared" si="15"/>
        <v>300-450 (Poor)</v>
      </c>
      <c r="K490" s="1"/>
    </row>
    <row r="491" spans="1:11" x14ac:dyDescent="0.35">
      <c r="A491" t="s">
        <v>1196</v>
      </c>
      <c r="B491" t="s">
        <v>1197</v>
      </c>
      <c r="C491">
        <v>117806</v>
      </c>
      <c r="D491">
        <v>658</v>
      </c>
      <c r="E491">
        <v>37727</v>
      </c>
      <c r="F491">
        <v>40</v>
      </c>
      <c r="G491">
        <v>65</v>
      </c>
      <c r="H491" t="b">
        <v>1</v>
      </c>
      <c r="I491">
        <f t="shared" si="14"/>
        <v>1</v>
      </c>
      <c r="J491" t="str">
        <f t="shared" si="15"/>
        <v>601-750 (Good)</v>
      </c>
      <c r="K491" s="1"/>
    </row>
    <row r="492" spans="1:11" x14ac:dyDescent="0.35">
      <c r="A492" t="s">
        <v>3073</v>
      </c>
      <c r="B492" t="s">
        <v>3074</v>
      </c>
      <c r="C492">
        <v>42903</v>
      </c>
      <c r="D492">
        <v>745</v>
      </c>
      <c r="E492">
        <v>37630</v>
      </c>
      <c r="F492">
        <v>31</v>
      </c>
      <c r="G492">
        <v>60</v>
      </c>
      <c r="H492" t="b">
        <v>1</v>
      </c>
      <c r="I492">
        <f t="shared" si="14"/>
        <v>1</v>
      </c>
      <c r="J492" t="str">
        <f t="shared" si="15"/>
        <v>601-750 (Good)</v>
      </c>
      <c r="K492" s="1"/>
    </row>
    <row r="493" spans="1:11" x14ac:dyDescent="0.35">
      <c r="A493" t="s">
        <v>319</v>
      </c>
      <c r="B493" t="s">
        <v>320</v>
      </c>
      <c r="C493">
        <v>127647</v>
      </c>
      <c r="D493">
        <v>617</v>
      </c>
      <c r="E493">
        <v>37629</v>
      </c>
      <c r="F493">
        <v>24</v>
      </c>
      <c r="G493">
        <v>65</v>
      </c>
      <c r="H493" t="b">
        <v>1</v>
      </c>
      <c r="I493">
        <f t="shared" si="14"/>
        <v>1</v>
      </c>
      <c r="J493" t="str">
        <f t="shared" si="15"/>
        <v>601-750 (Good)</v>
      </c>
      <c r="K493" s="1"/>
    </row>
    <row r="494" spans="1:11" x14ac:dyDescent="0.35">
      <c r="A494" t="s">
        <v>2459</v>
      </c>
      <c r="B494" t="s">
        <v>2460</v>
      </c>
      <c r="C494">
        <v>50585</v>
      </c>
      <c r="D494">
        <v>802</v>
      </c>
      <c r="E494">
        <v>37551</v>
      </c>
      <c r="F494">
        <v>39</v>
      </c>
      <c r="G494">
        <v>75</v>
      </c>
      <c r="H494" t="b">
        <v>1</v>
      </c>
      <c r="I494">
        <f t="shared" si="14"/>
        <v>1</v>
      </c>
      <c r="J494" t="str">
        <f t="shared" si="15"/>
        <v>751-850 (Excellent)</v>
      </c>
      <c r="K494" s="1"/>
    </row>
    <row r="495" spans="1:11" x14ac:dyDescent="0.35">
      <c r="A495" t="s">
        <v>3122</v>
      </c>
      <c r="B495" t="s">
        <v>3123</v>
      </c>
      <c r="C495">
        <v>119364</v>
      </c>
      <c r="D495">
        <v>682</v>
      </c>
      <c r="E495">
        <v>37527</v>
      </c>
      <c r="F495">
        <v>16</v>
      </c>
      <c r="G495">
        <v>75</v>
      </c>
      <c r="H495" t="b">
        <v>1</v>
      </c>
      <c r="I495">
        <f t="shared" si="14"/>
        <v>1</v>
      </c>
      <c r="J495" t="str">
        <f t="shared" si="15"/>
        <v>601-750 (Good)</v>
      </c>
      <c r="K495" s="1"/>
    </row>
    <row r="496" spans="1:11" x14ac:dyDescent="0.35">
      <c r="A496" t="s">
        <v>239</v>
      </c>
      <c r="B496" t="s">
        <v>240</v>
      </c>
      <c r="C496">
        <v>51417</v>
      </c>
      <c r="D496">
        <v>706</v>
      </c>
      <c r="E496">
        <v>37524</v>
      </c>
      <c r="F496">
        <v>23</v>
      </c>
      <c r="G496">
        <v>60</v>
      </c>
      <c r="H496" t="b">
        <v>1</v>
      </c>
      <c r="I496">
        <f t="shared" si="14"/>
        <v>1</v>
      </c>
      <c r="J496" t="str">
        <f t="shared" si="15"/>
        <v>601-750 (Good)</v>
      </c>
      <c r="K496" s="1"/>
    </row>
    <row r="497" spans="1:11" x14ac:dyDescent="0.35">
      <c r="A497" t="s">
        <v>3118</v>
      </c>
      <c r="B497" t="s">
        <v>3119</v>
      </c>
      <c r="C497">
        <v>84008</v>
      </c>
      <c r="D497">
        <v>746</v>
      </c>
      <c r="E497">
        <v>37522</v>
      </c>
      <c r="F497">
        <v>27</v>
      </c>
      <c r="G497">
        <v>75</v>
      </c>
      <c r="H497" t="b">
        <v>1</v>
      </c>
      <c r="I497">
        <f t="shared" si="14"/>
        <v>1</v>
      </c>
      <c r="J497" t="str">
        <f t="shared" si="15"/>
        <v>601-750 (Good)</v>
      </c>
      <c r="K497" s="1"/>
    </row>
    <row r="498" spans="1:11" x14ac:dyDescent="0.35">
      <c r="A498" t="s">
        <v>3839</v>
      </c>
      <c r="B498" t="s">
        <v>3840</v>
      </c>
      <c r="C498">
        <v>145042</v>
      </c>
      <c r="D498">
        <v>508</v>
      </c>
      <c r="E498">
        <v>37486</v>
      </c>
      <c r="F498">
        <v>14</v>
      </c>
      <c r="G498">
        <v>50</v>
      </c>
      <c r="H498" t="b">
        <v>0</v>
      </c>
      <c r="I498">
        <f t="shared" si="14"/>
        <v>0</v>
      </c>
      <c r="J498" t="str">
        <f t="shared" si="15"/>
        <v>451-600 (Fair)</v>
      </c>
      <c r="K498" s="1"/>
    </row>
    <row r="499" spans="1:11" x14ac:dyDescent="0.35">
      <c r="A499" t="s">
        <v>1101</v>
      </c>
      <c r="B499" t="s">
        <v>1102</v>
      </c>
      <c r="C499">
        <v>120573</v>
      </c>
      <c r="D499">
        <v>823</v>
      </c>
      <c r="E499">
        <v>37459</v>
      </c>
      <c r="F499">
        <v>36</v>
      </c>
      <c r="G499">
        <v>90</v>
      </c>
      <c r="H499" t="b">
        <v>1</v>
      </c>
      <c r="I499">
        <f t="shared" si="14"/>
        <v>1</v>
      </c>
      <c r="J499" t="str">
        <f t="shared" si="15"/>
        <v>751-850 (Excellent)</v>
      </c>
      <c r="K499" s="1"/>
    </row>
    <row r="500" spans="1:11" x14ac:dyDescent="0.35">
      <c r="A500" t="s">
        <v>3763</v>
      </c>
      <c r="B500" t="s">
        <v>3067</v>
      </c>
      <c r="C500">
        <v>37972</v>
      </c>
      <c r="D500">
        <v>628</v>
      </c>
      <c r="E500">
        <v>37457</v>
      </c>
      <c r="F500">
        <v>32</v>
      </c>
      <c r="G500">
        <v>40</v>
      </c>
      <c r="H500" t="b">
        <v>0</v>
      </c>
      <c r="I500">
        <f t="shared" si="14"/>
        <v>0</v>
      </c>
      <c r="J500" t="str">
        <f t="shared" si="15"/>
        <v>601-750 (Good)</v>
      </c>
      <c r="K500" s="1"/>
    </row>
    <row r="501" spans="1:11" x14ac:dyDescent="0.35">
      <c r="A501" t="s">
        <v>277</v>
      </c>
      <c r="B501" t="s">
        <v>278</v>
      </c>
      <c r="C501">
        <v>82581</v>
      </c>
      <c r="D501">
        <v>658</v>
      </c>
      <c r="E501">
        <v>37455</v>
      </c>
      <c r="F501">
        <v>23</v>
      </c>
      <c r="G501">
        <v>55</v>
      </c>
      <c r="H501" t="b">
        <v>0</v>
      </c>
      <c r="I501">
        <f t="shared" si="14"/>
        <v>0</v>
      </c>
      <c r="J501" t="str">
        <f t="shared" si="15"/>
        <v>601-750 (Good)</v>
      </c>
      <c r="K501" s="1"/>
    </row>
    <row r="502" spans="1:11" x14ac:dyDescent="0.35">
      <c r="A502" t="s">
        <v>3425</v>
      </c>
      <c r="B502" t="s">
        <v>3426</v>
      </c>
      <c r="C502">
        <v>31824</v>
      </c>
      <c r="D502">
        <v>427</v>
      </c>
      <c r="E502">
        <v>37424</v>
      </c>
      <c r="F502">
        <v>33</v>
      </c>
      <c r="G502">
        <v>25</v>
      </c>
      <c r="H502" t="b">
        <v>0</v>
      </c>
      <c r="I502">
        <f t="shared" si="14"/>
        <v>0</v>
      </c>
      <c r="J502" t="str">
        <f t="shared" si="15"/>
        <v>300-450 (Poor)</v>
      </c>
      <c r="K502" s="1"/>
    </row>
    <row r="503" spans="1:11" x14ac:dyDescent="0.35">
      <c r="A503" t="s">
        <v>590</v>
      </c>
      <c r="B503" t="s">
        <v>591</v>
      </c>
      <c r="C503">
        <v>32757</v>
      </c>
      <c r="D503">
        <v>477</v>
      </c>
      <c r="E503">
        <v>37366</v>
      </c>
      <c r="F503">
        <v>10</v>
      </c>
      <c r="G503">
        <v>25</v>
      </c>
      <c r="H503" t="b">
        <v>0</v>
      </c>
      <c r="I503">
        <f t="shared" si="14"/>
        <v>0</v>
      </c>
      <c r="J503" t="str">
        <f t="shared" si="15"/>
        <v>451-600 (Fair)</v>
      </c>
      <c r="K503" s="1"/>
    </row>
    <row r="504" spans="1:11" x14ac:dyDescent="0.35">
      <c r="A504" t="s">
        <v>3864</v>
      </c>
      <c r="B504" t="s">
        <v>3865</v>
      </c>
      <c r="C504">
        <v>89441</v>
      </c>
      <c r="D504">
        <v>601</v>
      </c>
      <c r="E504">
        <v>37304</v>
      </c>
      <c r="F504">
        <v>9</v>
      </c>
      <c r="G504">
        <v>50</v>
      </c>
      <c r="H504" t="b">
        <v>0</v>
      </c>
      <c r="I504">
        <f t="shared" si="14"/>
        <v>0</v>
      </c>
      <c r="J504" t="str">
        <f t="shared" si="15"/>
        <v>601-750 (Good)</v>
      </c>
      <c r="K504" s="1"/>
    </row>
    <row r="505" spans="1:11" x14ac:dyDescent="0.35">
      <c r="A505" t="s">
        <v>1422</v>
      </c>
      <c r="B505" t="s">
        <v>1423</v>
      </c>
      <c r="C505">
        <v>69446</v>
      </c>
      <c r="D505">
        <v>596</v>
      </c>
      <c r="E505">
        <v>37298</v>
      </c>
      <c r="F505">
        <v>31</v>
      </c>
      <c r="G505">
        <v>50</v>
      </c>
      <c r="H505" t="b">
        <v>0</v>
      </c>
      <c r="I505">
        <f t="shared" si="14"/>
        <v>0</v>
      </c>
      <c r="J505" t="str">
        <f t="shared" si="15"/>
        <v>451-600 (Fair)</v>
      </c>
      <c r="K505" s="1"/>
    </row>
    <row r="506" spans="1:11" x14ac:dyDescent="0.35">
      <c r="A506" t="s">
        <v>161</v>
      </c>
      <c r="B506" t="s">
        <v>162</v>
      </c>
      <c r="C506">
        <v>146057</v>
      </c>
      <c r="D506">
        <v>784</v>
      </c>
      <c r="E506">
        <v>37272</v>
      </c>
      <c r="F506">
        <v>33</v>
      </c>
      <c r="G506">
        <v>85</v>
      </c>
      <c r="H506" t="b">
        <v>1</v>
      </c>
      <c r="I506">
        <f t="shared" si="14"/>
        <v>1</v>
      </c>
      <c r="J506" t="str">
        <f t="shared" si="15"/>
        <v>751-850 (Excellent)</v>
      </c>
      <c r="K506" s="1"/>
    </row>
    <row r="507" spans="1:11" x14ac:dyDescent="0.35">
      <c r="A507" t="s">
        <v>2476</v>
      </c>
      <c r="B507" t="s">
        <v>2477</v>
      </c>
      <c r="C507">
        <v>120357</v>
      </c>
      <c r="D507">
        <v>661</v>
      </c>
      <c r="E507">
        <v>37234</v>
      </c>
      <c r="F507">
        <v>4</v>
      </c>
      <c r="G507">
        <v>55</v>
      </c>
      <c r="H507" t="b">
        <v>0</v>
      </c>
      <c r="I507">
        <f t="shared" si="14"/>
        <v>0</v>
      </c>
      <c r="J507" t="str">
        <f t="shared" si="15"/>
        <v>601-750 (Good)</v>
      </c>
      <c r="K507" s="1"/>
    </row>
    <row r="508" spans="1:11" x14ac:dyDescent="0.35">
      <c r="A508" t="s">
        <v>3166</v>
      </c>
      <c r="B508" t="s">
        <v>3167</v>
      </c>
      <c r="C508">
        <v>117404</v>
      </c>
      <c r="D508">
        <v>573</v>
      </c>
      <c r="E508">
        <v>37216</v>
      </c>
      <c r="F508">
        <v>22</v>
      </c>
      <c r="G508">
        <v>50</v>
      </c>
      <c r="H508" t="b">
        <v>0</v>
      </c>
      <c r="I508">
        <f t="shared" si="14"/>
        <v>0</v>
      </c>
      <c r="J508" t="str">
        <f t="shared" si="15"/>
        <v>451-600 (Fair)</v>
      </c>
      <c r="K508" s="1"/>
    </row>
    <row r="509" spans="1:11" x14ac:dyDescent="0.35">
      <c r="A509" t="s">
        <v>3323</v>
      </c>
      <c r="B509" t="s">
        <v>3324</v>
      </c>
      <c r="C509">
        <v>87779</v>
      </c>
      <c r="D509">
        <v>604</v>
      </c>
      <c r="E509">
        <v>37199</v>
      </c>
      <c r="F509">
        <v>19</v>
      </c>
      <c r="G509">
        <v>55</v>
      </c>
      <c r="H509" t="b">
        <v>0</v>
      </c>
      <c r="I509">
        <f t="shared" si="14"/>
        <v>0</v>
      </c>
      <c r="J509" t="str">
        <f t="shared" si="15"/>
        <v>601-750 (Good)</v>
      </c>
      <c r="K509" s="1"/>
    </row>
    <row r="510" spans="1:11" x14ac:dyDescent="0.35">
      <c r="A510" t="s">
        <v>1985</v>
      </c>
      <c r="B510" t="s">
        <v>1986</v>
      </c>
      <c r="C510">
        <v>55995</v>
      </c>
      <c r="D510">
        <v>588</v>
      </c>
      <c r="E510">
        <v>37145</v>
      </c>
      <c r="F510">
        <v>17</v>
      </c>
      <c r="G510">
        <v>50</v>
      </c>
      <c r="H510" t="b">
        <v>0</v>
      </c>
      <c r="I510">
        <f t="shared" si="14"/>
        <v>0</v>
      </c>
      <c r="J510" t="str">
        <f t="shared" si="15"/>
        <v>451-600 (Fair)</v>
      </c>
      <c r="K510" s="1"/>
    </row>
    <row r="511" spans="1:11" x14ac:dyDescent="0.35">
      <c r="A511" t="s">
        <v>695</v>
      </c>
      <c r="B511" t="s">
        <v>696</v>
      </c>
      <c r="C511">
        <v>82772</v>
      </c>
      <c r="D511">
        <v>721</v>
      </c>
      <c r="E511">
        <v>37089</v>
      </c>
      <c r="F511">
        <v>30</v>
      </c>
      <c r="G511">
        <v>65</v>
      </c>
      <c r="H511" t="b">
        <v>1</v>
      </c>
      <c r="I511">
        <f t="shared" si="14"/>
        <v>1</v>
      </c>
      <c r="J511" t="str">
        <f t="shared" si="15"/>
        <v>601-750 (Good)</v>
      </c>
      <c r="K511" s="1"/>
    </row>
    <row r="512" spans="1:11" x14ac:dyDescent="0.35">
      <c r="A512" t="s">
        <v>2784</v>
      </c>
      <c r="B512" t="s">
        <v>820</v>
      </c>
      <c r="C512">
        <v>102199</v>
      </c>
      <c r="D512">
        <v>423</v>
      </c>
      <c r="E512">
        <v>37075</v>
      </c>
      <c r="F512">
        <v>18</v>
      </c>
      <c r="G512">
        <v>50</v>
      </c>
      <c r="H512" t="b">
        <v>0</v>
      </c>
      <c r="I512">
        <f t="shared" si="14"/>
        <v>0</v>
      </c>
      <c r="J512" t="str">
        <f t="shared" si="15"/>
        <v>300-450 (Poor)</v>
      </c>
      <c r="K512" s="1"/>
    </row>
    <row r="513" spans="1:11" x14ac:dyDescent="0.35">
      <c r="A513" t="s">
        <v>3085</v>
      </c>
      <c r="B513" t="s">
        <v>3086</v>
      </c>
      <c r="C513">
        <v>88153</v>
      </c>
      <c r="D513">
        <v>560</v>
      </c>
      <c r="E513">
        <v>37074</v>
      </c>
      <c r="F513">
        <v>10</v>
      </c>
      <c r="G513">
        <v>40</v>
      </c>
      <c r="H513" t="b">
        <v>0</v>
      </c>
      <c r="I513">
        <f t="shared" si="14"/>
        <v>0</v>
      </c>
      <c r="J513" t="str">
        <f t="shared" si="15"/>
        <v>451-600 (Fair)</v>
      </c>
      <c r="K513" s="1"/>
    </row>
    <row r="514" spans="1:11" x14ac:dyDescent="0.35">
      <c r="A514" t="s">
        <v>3474</v>
      </c>
      <c r="B514" t="s">
        <v>1498</v>
      </c>
      <c r="C514">
        <v>59015</v>
      </c>
      <c r="D514">
        <v>821</v>
      </c>
      <c r="E514">
        <v>37063</v>
      </c>
      <c r="F514">
        <v>11</v>
      </c>
      <c r="G514">
        <v>75</v>
      </c>
      <c r="H514" t="b">
        <v>1</v>
      </c>
      <c r="I514">
        <f t="shared" si="14"/>
        <v>1</v>
      </c>
      <c r="J514" t="str">
        <f t="shared" si="15"/>
        <v>751-850 (Excellent)</v>
      </c>
      <c r="K514" s="1"/>
    </row>
    <row r="515" spans="1:11" x14ac:dyDescent="0.35">
      <c r="A515" t="s">
        <v>1098</v>
      </c>
      <c r="B515" t="s">
        <v>872</v>
      </c>
      <c r="C515">
        <v>39862</v>
      </c>
      <c r="D515">
        <v>684</v>
      </c>
      <c r="E515">
        <v>37060</v>
      </c>
      <c r="F515">
        <v>16</v>
      </c>
      <c r="G515">
        <v>50</v>
      </c>
      <c r="H515" t="b">
        <v>0</v>
      </c>
      <c r="I515">
        <f t="shared" si="14"/>
        <v>0</v>
      </c>
      <c r="J515" t="str">
        <f t="shared" si="15"/>
        <v>601-750 (Good)</v>
      </c>
      <c r="K515" s="1"/>
    </row>
    <row r="516" spans="1:11" x14ac:dyDescent="0.35">
      <c r="A516" t="s">
        <v>3031</v>
      </c>
      <c r="B516" t="s">
        <v>3032</v>
      </c>
      <c r="C516">
        <v>142635</v>
      </c>
      <c r="D516">
        <v>684</v>
      </c>
      <c r="E516">
        <v>37053</v>
      </c>
      <c r="F516">
        <v>1</v>
      </c>
      <c r="G516">
        <v>60</v>
      </c>
      <c r="H516" t="b">
        <v>1</v>
      </c>
      <c r="I516">
        <f t="shared" ref="I516:I579" si="16">--H516</f>
        <v>1</v>
      </c>
      <c r="J516" t="str">
        <f t="shared" ref="J516:J579" si="17">IF(D516&gt;750, "751-850 (Excellent)", IF(D516&gt;600, "601-750 (Good)", IF(D516&gt;450, "451-600 (Fair)", "300-450 (Poor)")))</f>
        <v>601-750 (Good)</v>
      </c>
      <c r="K516" s="1"/>
    </row>
    <row r="517" spans="1:11" x14ac:dyDescent="0.35">
      <c r="A517" t="s">
        <v>1094</v>
      </c>
      <c r="B517" t="s">
        <v>1095</v>
      </c>
      <c r="C517">
        <v>31267</v>
      </c>
      <c r="D517">
        <v>484</v>
      </c>
      <c r="E517">
        <v>37042</v>
      </c>
      <c r="F517">
        <v>25</v>
      </c>
      <c r="G517">
        <v>25</v>
      </c>
      <c r="H517" t="b">
        <v>0</v>
      </c>
      <c r="I517">
        <f t="shared" si="16"/>
        <v>0</v>
      </c>
      <c r="J517" t="str">
        <f t="shared" si="17"/>
        <v>451-600 (Fair)</v>
      </c>
      <c r="K517" s="1"/>
    </row>
    <row r="518" spans="1:11" x14ac:dyDescent="0.35">
      <c r="A518" t="s">
        <v>3679</v>
      </c>
      <c r="B518" t="s">
        <v>3680</v>
      </c>
      <c r="C518">
        <v>44408</v>
      </c>
      <c r="D518">
        <v>667</v>
      </c>
      <c r="E518">
        <v>37024</v>
      </c>
      <c r="F518">
        <v>20</v>
      </c>
      <c r="G518">
        <v>40</v>
      </c>
      <c r="H518" t="b">
        <v>0</v>
      </c>
      <c r="I518">
        <f t="shared" si="16"/>
        <v>0</v>
      </c>
      <c r="J518" t="str">
        <f t="shared" si="17"/>
        <v>601-750 (Good)</v>
      </c>
      <c r="K518" s="1"/>
    </row>
    <row r="519" spans="1:11" x14ac:dyDescent="0.35">
      <c r="A519" t="s">
        <v>1254</v>
      </c>
      <c r="B519" t="s">
        <v>1255</v>
      </c>
      <c r="C519">
        <v>82227</v>
      </c>
      <c r="D519">
        <v>678</v>
      </c>
      <c r="E519">
        <v>36971</v>
      </c>
      <c r="F519">
        <v>3</v>
      </c>
      <c r="G519">
        <v>55</v>
      </c>
      <c r="H519" t="b">
        <v>0</v>
      </c>
      <c r="I519">
        <f t="shared" si="16"/>
        <v>0</v>
      </c>
      <c r="J519" t="str">
        <f t="shared" si="17"/>
        <v>601-750 (Good)</v>
      </c>
      <c r="K519" s="1"/>
    </row>
    <row r="520" spans="1:11" x14ac:dyDescent="0.35">
      <c r="A520" t="s">
        <v>916</v>
      </c>
      <c r="B520" t="s">
        <v>917</v>
      </c>
      <c r="C520">
        <v>64814</v>
      </c>
      <c r="D520">
        <v>355</v>
      </c>
      <c r="E520">
        <v>36969</v>
      </c>
      <c r="F520">
        <v>29</v>
      </c>
      <c r="G520">
        <v>35</v>
      </c>
      <c r="H520" t="b">
        <v>0</v>
      </c>
      <c r="I520">
        <f t="shared" si="16"/>
        <v>0</v>
      </c>
      <c r="J520" t="str">
        <f t="shared" si="17"/>
        <v>300-450 (Poor)</v>
      </c>
      <c r="K520" s="1"/>
    </row>
    <row r="521" spans="1:11" x14ac:dyDescent="0.35">
      <c r="A521" t="s">
        <v>3162</v>
      </c>
      <c r="B521" t="s">
        <v>3163</v>
      </c>
      <c r="C521">
        <v>90236</v>
      </c>
      <c r="D521">
        <v>410</v>
      </c>
      <c r="E521">
        <v>36945</v>
      </c>
      <c r="F521">
        <v>34</v>
      </c>
      <c r="G521">
        <v>40</v>
      </c>
      <c r="H521" t="b">
        <v>0</v>
      </c>
      <c r="I521">
        <f t="shared" si="16"/>
        <v>0</v>
      </c>
      <c r="J521" t="str">
        <f t="shared" si="17"/>
        <v>300-450 (Poor)</v>
      </c>
      <c r="K521" s="1"/>
    </row>
    <row r="522" spans="1:11" x14ac:dyDescent="0.35">
      <c r="A522" t="s">
        <v>1046</v>
      </c>
      <c r="B522" t="s">
        <v>1047</v>
      </c>
      <c r="C522">
        <v>94032</v>
      </c>
      <c r="D522">
        <v>307</v>
      </c>
      <c r="E522">
        <v>36927</v>
      </c>
      <c r="F522">
        <v>23</v>
      </c>
      <c r="G522">
        <v>45</v>
      </c>
      <c r="H522" t="b">
        <v>0</v>
      </c>
      <c r="I522">
        <f t="shared" si="16"/>
        <v>0</v>
      </c>
      <c r="J522" t="str">
        <f t="shared" si="17"/>
        <v>300-450 (Poor)</v>
      </c>
      <c r="K522" s="1"/>
    </row>
    <row r="523" spans="1:11" x14ac:dyDescent="0.35">
      <c r="A523" t="s">
        <v>1115</v>
      </c>
      <c r="B523" t="s">
        <v>1116</v>
      </c>
      <c r="C523">
        <v>106350</v>
      </c>
      <c r="D523">
        <v>350</v>
      </c>
      <c r="E523">
        <v>36923</v>
      </c>
      <c r="F523">
        <v>25</v>
      </c>
      <c r="G523">
        <v>50</v>
      </c>
      <c r="H523" t="b">
        <v>0</v>
      </c>
      <c r="I523">
        <f t="shared" si="16"/>
        <v>0</v>
      </c>
      <c r="J523" t="str">
        <f t="shared" si="17"/>
        <v>300-450 (Poor)</v>
      </c>
      <c r="K523" s="1"/>
    </row>
    <row r="524" spans="1:11" x14ac:dyDescent="0.35">
      <c r="A524" t="s">
        <v>3192</v>
      </c>
      <c r="B524" t="s">
        <v>3193</v>
      </c>
      <c r="C524">
        <v>69210</v>
      </c>
      <c r="D524">
        <v>595</v>
      </c>
      <c r="E524">
        <v>36909</v>
      </c>
      <c r="F524">
        <v>30</v>
      </c>
      <c r="G524">
        <v>50</v>
      </c>
      <c r="H524" t="b">
        <v>0</v>
      </c>
      <c r="I524">
        <f t="shared" si="16"/>
        <v>0</v>
      </c>
      <c r="J524" t="str">
        <f t="shared" si="17"/>
        <v>451-600 (Fair)</v>
      </c>
      <c r="K524" s="1"/>
    </row>
    <row r="525" spans="1:11" x14ac:dyDescent="0.35">
      <c r="A525" t="s">
        <v>3849</v>
      </c>
      <c r="B525" t="s">
        <v>3850</v>
      </c>
      <c r="C525">
        <v>58183</v>
      </c>
      <c r="D525">
        <v>311</v>
      </c>
      <c r="E525">
        <v>36896</v>
      </c>
      <c r="F525">
        <v>5</v>
      </c>
      <c r="G525">
        <v>30</v>
      </c>
      <c r="H525" t="b">
        <v>0</v>
      </c>
      <c r="I525">
        <f t="shared" si="16"/>
        <v>0</v>
      </c>
      <c r="J525" t="str">
        <f t="shared" si="17"/>
        <v>300-450 (Poor)</v>
      </c>
      <c r="K525" s="1"/>
    </row>
    <row r="526" spans="1:11" x14ac:dyDescent="0.35">
      <c r="A526" t="s">
        <v>3332</v>
      </c>
      <c r="B526" t="s">
        <v>3333</v>
      </c>
      <c r="C526">
        <v>47224</v>
      </c>
      <c r="D526">
        <v>804</v>
      </c>
      <c r="E526">
        <v>36885</v>
      </c>
      <c r="F526">
        <v>15</v>
      </c>
      <c r="G526">
        <v>65</v>
      </c>
      <c r="H526" t="b">
        <v>1</v>
      </c>
      <c r="I526">
        <f t="shared" si="16"/>
        <v>1</v>
      </c>
      <c r="J526" t="str">
        <f t="shared" si="17"/>
        <v>751-850 (Excellent)</v>
      </c>
      <c r="K526" s="1"/>
    </row>
    <row r="527" spans="1:11" x14ac:dyDescent="0.35">
      <c r="A527" t="s">
        <v>1585</v>
      </c>
      <c r="B527" t="s">
        <v>1586</v>
      </c>
      <c r="C527">
        <v>103060</v>
      </c>
      <c r="D527">
        <v>372</v>
      </c>
      <c r="E527">
        <v>36858</v>
      </c>
      <c r="F527">
        <v>38</v>
      </c>
      <c r="G527">
        <v>50</v>
      </c>
      <c r="H527" t="b">
        <v>0</v>
      </c>
      <c r="I527">
        <f t="shared" si="16"/>
        <v>0</v>
      </c>
      <c r="J527" t="str">
        <f t="shared" si="17"/>
        <v>300-450 (Poor)</v>
      </c>
      <c r="K527" s="1"/>
    </row>
    <row r="528" spans="1:11" x14ac:dyDescent="0.35">
      <c r="A528" t="s">
        <v>730</v>
      </c>
      <c r="B528" t="s">
        <v>731</v>
      </c>
      <c r="C528">
        <v>39880</v>
      </c>
      <c r="D528">
        <v>376</v>
      </c>
      <c r="E528">
        <v>36851</v>
      </c>
      <c r="F528">
        <v>5</v>
      </c>
      <c r="G528">
        <v>20</v>
      </c>
      <c r="H528" t="b">
        <v>0</v>
      </c>
      <c r="I528">
        <f t="shared" si="16"/>
        <v>0</v>
      </c>
      <c r="J528" t="str">
        <f t="shared" si="17"/>
        <v>300-450 (Poor)</v>
      </c>
      <c r="K528" s="1"/>
    </row>
    <row r="529" spans="1:11" x14ac:dyDescent="0.35">
      <c r="A529" t="s">
        <v>2992</v>
      </c>
      <c r="B529" t="s">
        <v>2993</v>
      </c>
      <c r="C529">
        <v>124692</v>
      </c>
      <c r="D529">
        <v>620</v>
      </c>
      <c r="E529">
        <v>36777</v>
      </c>
      <c r="F529">
        <v>12</v>
      </c>
      <c r="G529">
        <v>65</v>
      </c>
      <c r="H529" t="b">
        <v>1</v>
      </c>
      <c r="I529">
        <f t="shared" si="16"/>
        <v>1</v>
      </c>
      <c r="J529" t="str">
        <f t="shared" si="17"/>
        <v>601-750 (Good)</v>
      </c>
      <c r="K529" s="1"/>
    </row>
    <row r="530" spans="1:11" x14ac:dyDescent="0.35">
      <c r="A530" t="s">
        <v>2502</v>
      </c>
      <c r="B530" t="s">
        <v>2503</v>
      </c>
      <c r="C530">
        <v>120096</v>
      </c>
      <c r="D530">
        <v>800</v>
      </c>
      <c r="E530">
        <v>36755</v>
      </c>
      <c r="F530">
        <v>31</v>
      </c>
      <c r="G530">
        <v>90</v>
      </c>
      <c r="H530" t="b">
        <v>1</v>
      </c>
      <c r="I530">
        <f t="shared" si="16"/>
        <v>1</v>
      </c>
      <c r="J530" t="str">
        <f t="shared" si="17"/>
        <v>751-850 (Excellent)</v>
      </c>
      <c r="K530" s="1"/>
    </row>
    <row r="531" spans="1:11" x14ac:dyDescent="0.35">
      <c r="A531" t="s">
        <v>349</v>
      </c>
      <c r="B531" t="s">
        <v>350</v>
      </c>
      <c r="C531">
        <v>41915</v>
      </c>
      <c r="D531">
        <v>838</v>
      </c>
      <c r="E531">
        <v>36656</v>
      </c>
      <c r="F531">
        <v>32</v>
      </c>
      <c r="G531">
        <v>65</v>
      </c>
      <c r="H531" t="b">
        <v>1</v>
      </c>
      <c r="I531">
        <f t="shared" si="16"/>
        <v>1</v>
      </c>
      <c r="J531" t="str">
        <f t="shared" si="17"/>
        <v>751-850 (Excellent)</v>
      </c>
      <c r="K531" s="1"/>
    </row>
    <row r="532" spans="1:11" x14ac:dyDescent="0.35">
      <c r="A532" t="s">
        <v>79</v>
      </c>
      <c r="B532" t="s">
        <v>80</v>
      </c>
      <c r="C532">
        <v>84987</v>
      </c>
      <c r="D532">
        <v>748</v>
      </c>
      <c r="E532">
        <v>36600</v>
      </c>
      <c r="F532">
        <v>19</v>
      </c>
      <c r="G532">
        <v>75</v>
      </c>
      <c r="H532" t="b">
        <v>1</v>
      </c>
      <c r="I532">
        <f t="shared" si="16"/>
        <v>1</v>
      </c>
      <c r="J532" t="str">
        <f t="shared" si="17"/>
        <v>601-750 (Good)</v>
      </c>
      <c r="K532" s="1"/>
    </row>
    <row r="533" spans="1:11" x14ac:dyDescent="0.35">
      <c r="A533" t="s">
        <v>1072</v>
      </c>
      <c r="B533" t="s">
        <v>1073</v>
      </c>
      <c r="C533">
        <v>131072</v>
      </c>
      <c r="D533">
        <v>601</v>
      </c>
      <c r="E533">
        <v>36568</v>
      </c>
      <c r="F533">
        <v>31</v>
      </c>
      <c r="G533">
        <v>65</v>
      </c>
      <c r="H533" t="b">
        <v>1</v>
      </c>
      <c r="I533">
        <f t="shared" si="16"/>
        <v>1</v>
      </c>
      <c r="J533" t="str">
        <f t="shared" si="17"/>
        <v>601-750 (Good)</v>
      </c>
      <c r="K533" s="1"/>
    </row>
    <row r="534" spans="1:11" x14ac:dyDescent="0.35">
      <c r="A534" t="s">
        <v>3327</v>
      </c>
      <c r="B534" t="s">
        <v>1574</v>
      </c>
      <c r="C534">
        <v>105965</v>
      </c>
      <c r="D534">
        <v>715</v>
      </c>
      <c r="E534">
        <v>36518</v>
      </c>
      <c r="F534">
        <v>6</v>
      </c>
      <c r="G534">
        <v>70</v>
      </c>
      <c r="H534" t="b">
        <v>1</v>
      </c>
      <c r="I534">
        <f t="shared" si="16"/>
        <v>1</v>
      </c>
      <c r="J534" t="str">
        <f t="shared" si="17"/>
        <v>601-750 (Good)</v>
      </c>
      <c r="K534" s="1"/>
    </row>
    <row r="535" spans="1:11" x14ac:dyDescent="0.35">
      <c r="A535" t="s">
        <v>1845</v>
      </c>
      <c r="B535" t="s">
        <v>1846</v>
      </c>
      <c r="C535">
        <v>143619</v>
      </c>
      <c r="D535">
        <v>512</v>
      </c>
      <c r="E535">
        <v>36501</v>
      </c>
      <c r="F535">
        <v>25</v>
      </c>
      <c r="G535">
        <v>50</v>
      </c>
      <c r="H535" t="b">
        <v>0</v>
      </c>
      <c r="I535">
        <f t="shared" si="16"/>
        <v>0</v>
      </c>
      <c r="J535" t="str">
        <f t="shared" si="17"/>
        <v>451-600 (Fair)</v>
      </c>
      <c r="K535" s="1"/>
    </row>
    <row r="536" spans="1:11" x14ac:dyDescent="0.35">
      <c r="A536" t="s">
        <v>3860</v>
      </c>
      <c r="B536" t="s">
        <v>3861</v>
      </c>
      <c r="C536">
        <v>74424</v>
      </c>
      <c r="D536">
        <v>757</v>
      </c>
      <c r="E536">
        <v>36497</v>
      </c>
      <c r="F536">
        <v>20</v>
      </c>
      <c r="G536">
        <v>70</v>
      </c>
      <c r="H536" t="b">
        <v>1</v>
      </c>
      <c r="I536">
        <f t="shared" si="16"/>
        <v>1</v>
      </c>
      <c r="J536" t="str">
        <f t="shared" si="17"/>
        <v>751-850 (Excellent)</v>
      </c>
      <c r="K536" s="1"/>
    </row>
    <row r="537" spans="1:11" x14ac:dyDescent="0.35">
      <c r="A537" t="s">
        <v>2791</v>
      </c>
      <c r="B537" t="s">
        <v>2792</v>
      </c>
      <c r="C537">
        <v>42217</v>
      </c>
      <c r="D537">
        <v>455</v>
      </c>
      <c r="E537">
        <v>36443</v>
      </c>
      <c r="F537">
        <v>39</v>
      </c>
      <c r="G537">
        <v>25</v>
      </c>
      <c r="H537" t="b">
        <v>0</v>
      </c>
      <c r="I537">
        <f t="shared" si="16"/>
        <v>0</v>
      </c>
      <c r="J537" t="str">
        <f t="shared" si="17"/>
        <v>451-600 (Fair)</v>
      </c>
      <c r="K537" s="1"/>
    </row>
    <row r="538" spans="1:11" x14ac:dyDescent="0.35">
      <c r="A538" t="s">
        <v>1226</v>
      </c>
      <c r="B538" t="s">
        <v>1227</v>
      </c>
      <c r="C538">
        <v>59154</v>
      </c>
      <c r="D538">
        <v>646</v>
      </c>
      <c r="E538">
        <v>36427</v>
      </c>
      <c r="F538">
        <v>28</v>
      </c>
      <c r="G538">
        <v>50</v>
      </c>
      <c r="H538" t="b">
        <v>0</v>
      </c>
      <c r="I538">
        <f t="shared" si="16"/>
        <v>0</v>
      </c>
      <c r="J538" t="str">
        <f t="shared" si="17"/>
        <v>601-750 (Good)</v>
      </c>
      <c r="K538" s="1"/>
    </row>
    <row r="539" spans="1:11" x14ac:dyDescent="0.35">
      <c r="A539" t="s">
        <v>257</v>
      </c>
      <c r="B539" t="s">
        <v>258</v>
      </c>
      <c r="C539">
        <v>72504</v>
      </c>
      <c r="D539">
        <v>433</v>
      </c>
      <c r="E539">
        <v>36403</v>
      </c>
      <c r="F539">
        <v>16</v>
      </c>
      <c r="G539">
        <v>35</v>
      </c>
      <c r="H539" t="b">
        <v>0</v>
      </c>
      <c r="I539">
        <f t="shared" si="16"/>
        <v>0</v>
      </c>
      <c r="J539" t="str">
        <f t="shared" si="17"/>
        <v>300-450 (Poor)</v>
      </c>
      <c r="K539" s="1"/>
    </row>
    <row r="540" spans="1:11" x14ac:dyDescent="0.35">
      <c r="A540" t="s">
        <v>2445</v>
      </c>
      <c r="B540" t="s">
        <v>2446</v>
      </c>
      <c r="C540">
        <v>129973</v>
      </c>
      <c r="D540">
        <v>340</v>
      </c>
      <c r="E540">
        <v>36378</v>
      </c>
      <c r="F540">
        <v>34</v>
      </c>
      <c r="G540">
        <v>50</v>
      </c>
      <c r="H540" t="b">
        <v>0</v>
      </c>
      <c r="I540">
        <f t="shared" si="16"/>
        <v>0</v>
      </c>
      <c r="J540" t="str">
        <f t="shared" si="17"/>
        <v>300-450 (Poor)</v>
      </c>
      <c r="K540" s="1"/>
    </row>
    <row r="541" spans="1:11" x14ac:dyDescent="0.35">
      <c r="A541" t="s">
        <v>1378</v>
      </c>
      <c r="B541" t="s">
        <v>1379</v>
      </c>
      <c r="C541">
        <v>147970</v>
      </c>
      <c r="D541">
        <v>544</v>
      </c>
      <c r="E541">
        <v>36365</v>
      </c>
      <c r="F541">
        <v>7</v>
      </c>
      <c r="G541">
        <v>50</v>
      </c>
      <c r="H541" t="b">
        <v>0</v>
      </c>
      <c r="I541">
        <f t="shared" si="16"/>
        <v>0</v>
      </c>
      <c r="J541" t="str">
        <f t="shared" si="17"/>
        <v>451-600 (Fair)</v>
      </c>
      <c r="K541" s="1"/>
    </row>
    <row r="542" spans="1:11" x14ac:dyDescent="0.35">
      <c r="A542" t="s">
        <v>2414</v>
      </c>
      <c r="B542" t="s">
        <v>2415</v>
      </c>
      <c r="C542">
        <v>98494</v>
      </c>
      <c r="D542">
        <v>728</v>
      </c>
      <c r="E542">
        <v>36321</v>
      </c>
      <c r="F542">
        <v>7</v>
      </c>
      <c r="G542">
        <v>65</v>
      </c>
      <c r="H542" t="b">
        <v>1</v>
      </c>
      <c r="I542">
        <f t="shared" si="16"/>
        <v>1</v>
      </c>
      <c r="J542" t="str">
        <f t="shared" si="17"/>
        <v>601-750 (Good)</v>
      </c>
      <c r="K542" s="1"/>
    </row>
    <row r="543" spans="1:11" x14ac:dyDescent="0.35">
      <c r="A543" t="s">
        <v>2093</v>
      </c>
      <c r="B543" t="s">
        <v>1828</v>
      </c>
      <c r="C543">
        <v>138230</v>
      </c>
      <c r="D543">
        <v>809</v>
      </c>
      <c r="E543">
        <v>36307</v>
      </c>
      <c r="F543">
        <v>34</v>
      </c>
      <c r="G543">
        <v>90</v>
      </c>
      <c r="H543" t="b">
        <v>1</v>
      </c>
      <c r="I543">
        <f t="shared" si="16"/>
        <v>1</v>
      </c>
      <c r="J543" t="str">
        <f t="shared" si="17"/>
        <v>751-850 (Excellent)</v>
      </c>
      <c r="K543" s="1"/>
    </row>
    <row r="544" spans="1:11" x14ac:dyDescent="0.35">
      <c r="A544" t="s">
        <v>1491</v>
      </c>
      <c r="B544" t="s">
        <v>1492</v>
      </c>
      <c r="C544">
        <v>137272</v>
      </c>
      <c r="D544">
        <v>320</v>
      </c>
      <c r="E544">
        <v>36285</v>
      </c>
      <c r="F544">
        <v>20</v>
      </c>
      <c r="G544">
        <v>50</v>
      </c>
      <c r="H544" t="b">
        <v>0</v>
      </c>
      <c r="I544">
        <f t="shared" si="16"/>
        <v>0</v>
      </c>
      <c r="J544" t="str">
        <f t="shared" si="17"/>
        <v>300-450 (Poor)</v>
      </c>
      <c r="K544" s="1"/>
    </row>
    <row r="545" spans="1:11" x14ac:dyDescent="0.35">
      <c r="A545" t="s">
        <v>131</v>
      </c>
      <c r="B545" t="s">
        <v>132</v>
      </c>
      <c r="C545">
        <v>109131</v>
      </c>
      <c r="D545">
        <v>729</v>
      </c>
      <c r="E545">
        <v>36272</v>
      </c>
      <c r="F545">
        <v>34</v>
      </c>
      <c r="G545">
        <v>75</v>
      </c>
      <c r="H545" t="b">
        <v>1</v>
      </c>
      <c r="I545">
        <f t="shared" si="16"/>
        <v>1</v>
      </c>
      <c r="J545" t="str">
        <f t="shared" si="17"/>
        <v>601-750 (Good)</v>
      </c>
      <c r="K545" s="1"/>
    </row>
    <row r="546" spans="1:11" x14ac:dyDescent="0.35">
      <c r="A546" t="s">
        <v>2516</v>
      </c>
      <c r="B546" t="s">
        <v>2517</v>
      </c>
      <c r="C546">
        <v>116662</v>
      </c>
      <c r="D546">
        <v>396</v>
      </c>
      <c r="E546">
        <v>36240</v>
      </c>
      <c r="F546">
        <v>29</v>
      </c>
      <c r="G546">
        <v>50</v>
      </c>
      <c r="H546" t="b">
        <v>0</v>
      </c>
      <c r="I546">
        <f t="shared" si="16"/>
        <v>0</v>
      </c>
      <c r="J546" t="str">
        <f t="shared" si="17"/>
        <v>300-450 (Poor)</v>
      </c>
      <c r="K546" s="1"/>
    </row>
    <row r="547" spans="1:11" x14ac:dyDescent="0.35">
      <c r="A547" t="s">
        <v>2764</v>
      </c>
      <c r="B547" t="s">
        <v>2765</v>
      </c>
      <c r="C547">
        <v>93532</v>
      </c>
      <c r="D547">
        <v>725</v>
      </c>
      <c r="E547">
        <v>36174</v>
      </c>
      <c r="F547">
        <v>28</v>
      </c>
      <c r="G547">
        <v>70</v>
      </c>
      <c r="H547" t="b">
        <v>1</v>
      </c>
      <c r="I547">
        <f t="shared" si="16"/>
        <v>1</v>
      </c>
      <c r="J547" t="str">
        <f t="shared" si="17"/>
        <v>601-750 (Good)</v>
      </c>
      <c r="K547" s="1"/>
    </row>
    <row r="548" spans="1:11" x14ac:dyDescent="0.35">
      <c r="A548" t="s">
        <v>2598</v>
      </c>
      <c r="B548" t="s">
        <v>2599</v>
      </c>
      <c r="C548">
        <v>33390</v>
      </c>
      <c r="D548">
        <v>643</v>
      </c>
      <c r="E548">
        <v>36063</v>
      </c>
      <c r="F548">
        <v>23</v>
      </c>
      <c r="G548">
        <v>40</v>
      </c>
      <c r="H548" t="b">
        <v>0</v>
      </c>
      <c r="I548">
        <f t="shared" si="16"/>
        <v>0</v>
      </c>
      <c r="J548" t="str">
        <f t="shared" si="17"/>
        <v>601-750 (Good)</v>
      </c>
      <c r="K548" s="1"/>
    </row>
    <row r="549" spans="1:11" x14ac:dyDescent="0.35">
      <c r="A549" t="s">
        <v>2387</v>
      </c>
      <c r="B549" t="s">
        <v>2388</v>
      </c>
      <c r="C549">
        <v>103772</v>
      </c>
      <c r="D549">
        <v>594</v>
      </c>
      <c r="E549">
        <v>36046</v>
      </c>
      <c r="F549">
        <v>29</v>
      </c>
      <c r="G549">
        <v>65</v>
      </c>
      <c r="H549" t="b">
        <v>1</v>
      </c>
      <c r="I549">
        <f t="shared" si="16"/>
        <v>1</v>
      </c>
      <c r="J549" t="str">
        <f t="shared" si="17"/>
        <v>451-600 (Fair)</v>
      </c>
      <c r="K549" s="1"/>
    </row>
    <row r="550" spans="1:11" x14ac:dyDescent="0.35">
      <c r="A550" t="s">
        <v>1925</v>
      </c>
      <c r="B550" t="s">
        <v>1926</v>
      </c>
      <c r="C550">
        <v>61266</v>
      </c>
      <c r="D550">
        <v>439</v>
      </c>
      <c r="E550">
        <v>36031</v>
      </c>
      <c r="F550">
        <v>40</v>
      </c>
      <c r="G550">
        <v>35</v>
      </c>
      <c r="H550" t="b">
        <v>0</v>
      </c>
      <c r="I550">
        <f t="shared" si="16"/>
        <v>0</v>
      </c>
      <c r="J550" t="str">
        <f t="shared" si="17"/>
        <v>300-450 (Poor)</v>
      </c>
      <c r="K550" s="1"/>
    </row>
    <row r="551" spans="1:11" x14ac:dyDescent="0.35">
      <c r="A551" t="s">
        <v>2890</v>
      </c>
      <c r="B551" t="s">
        <v>2891</v>
      </c>
      <c r="C551">
        <v>94178</v>
      </c>
      <c r="D551">
        <v>349</v>
      </c>
      <c r="E551">
        <v>36015</v>
      </c>
      <c r="F551">
        <v>1</v>
      </c>
      <c r="G551">
        <v>30</v>
      </c>
      <c r="H551" t="b">
        <v>0</v>
      </c>
      <c r="I551">
        <f t="shared" si="16"/>
        <v>0</v>
      </c>
      <c r="J551" t="str">
        <f t="shared" si="17"/>
        <v>300-450 (Poor)</v>
      </c>
      <c r="K551" s="1"/>
    </row>
    <row r="552" spans="1:11" x14ac:dyDescent="0.35">
      <c r="A552" t="s">
        <v>2585</v>
      </c>
      <c r="B552" t="s">
        <v>2586</v>
      </c>
      <c r="C552">
        <v>35224</v>
      </c>
      <c r="D552">
        <v>703</v>
      </c>
      <c r="E552">
        <v>36003</v>
      </c>
      <c r="F552">
        <v>4</v>
      </c>
      <c r="G552">
        <v>40</v>
      </c>
      <c r="H552" t="b">
        <v>0</v>
      </c>
      <c r="I552">
        <f t="shared" si="16"/>
        <v>0</v>
      </c>
      <c r="J552" t="str">
        <f t="shared" si="17"/>
        <v>601-750 (Good)</v>
      </c>
      <c r="K552" s="1"/>
    </row>
    <row r="553" spans="1:11" x14ac:dyDescent="0.35">
      <c r="A553" t="s">
        <v>1400</v>
      </c>
      <c r="B553" t="s">
        <v>1401</v>
      </c>
      <c r="C553">
        <v>46683</v>
      </c>
      <c r="D553">
        <v>466</v>
      </c>
      <c r="E553">
        <v>35972</v>
      </c>
      <c r="F553">
        <v>19</v>
      </c>
      <c r="G553">
        <v>25</v>
      </c>
      <c r="H553" t="b">
        <v>0</v>
      </c>
      <c r="I553">
        <f t="shared" si="16"/>
        <v>0</v>
      </c>
      <c r="J553" t="str">
        <f t="shared" si="17"/>
        <v>451-600 (Fair)</v>
      </c>
      <c r="K553" s="1"/>
    </row>
    <row r="554" spans="1:11" x14ac:dyDescent="0.35">
      <c r="A554" t="s">
        <v>2042</v>
      </c>
      <c r="B554" t="s">
        <v>2043</v>
      </c>
      <c r="C554">
        <v>141355</v>
      </c>
      <c r="D554">
        <v>506</v>
      </c>
      <c r="E554">
        <v>35967</v>
      </c>
      <c r="F554">
        <v>9</v>
      </c>
      <c r="G554">
        <v>45</v>
      </c>
      <c r="H554" t="b">
        <v>0</v>
      </c>
      <c r="I554">
        <f t="shared" si="16"/>
        <v>0</v>
      </c>
      <c r="J554" t="str">
        <f t="shared" si="17"/>
        <v>451-600 (Fair)</v>
      </c>
      <c r="K554" s="1"/>
    </row>
    <row r="555" spans="1:11" x14ac:dyDescent="0.35">
      <c r="A555" t="s">
        <v>3800</v>
      </c>
      <c r="B555" t="s">
        <v>3801</v>
      </c>
      <c r="C555">
        <v>111830</v>
      </c>
      <c r="D555">
        <v>557</v>
      </c>
      <c r="E555">
        <v>35957</v>
      </c>
      <c r="F555">
        <v>33</v>
      </c>
      <c r="G555">
        <v>50</v>
      </c>
      <c r="H555" t="b">
        <v>0</v>
      </c>
      <c r="I555">
        <f t="shared" si="16"/>
        <v>0</v>
      </c>
      <c r="J555" t="str">
        <f t="shared" si="17"/>
        <v>451-600 (Fair)</v>
      </c>
      <c r="K555" s="1"/>
    </row>
    <row r="556" spans="1:11" x14ac:dyDescent="0.35">
      <c r="A556" t="s">
        <v>2836</v>
      </c>
      <c r="B556" t="s">
        <v>2837</v>
      </c>
      <c r="C556">
        <v>48958</v>
      </c>
      <c r="D556">
        <v>648</v>
      </c>
      <c r="E556">
        <v>35919</v>
      </c>
      <c r="F556">
        <v>22</v>
      </c>
      <c r="G556">
        <v>40</v>
      </c>
      <c r="H556" t="b">
        <v>0</v>
      </c>
      <c r="I556">
        <f t="shared" si="16"/>
        <v>0</v>
      </c>
      <c r="J556" t="str">
        <f t="shared" si="17"/>
        <v>601-750 (Good)</v>
      </c>
      <c r="K556" s="1"/>
    </row>
    <row r="557" spans="1:11" x14ac:dyDescent="0.35">
      <c r="A557" t="s">
        <v>2736</v>
      </c>
      <c r="B557" t="s">
        <v>425</v>
      </c>
      <c r="C557">
        <v>111609</v>
      </c>
      <c r="D557">
        <v>634</v>
      </c>
      <c r="E557">
        <v>35889</v>
      </c>
      <c r="F557">
        <v>29</v>
      </c>
      <c r="G557">
        <v>65</v>
      </c>
      <c r="H557" t="b">
        <v>1</v>
      </c>
      <c r="I557">
        <f t="shared" si="16"/>
        <v>1</v>
      </c>
      <c r="J557" t="str">
        <f t="shared" si="17"/>
        <v>601-750 (Good)</v>
      </c>
      <c r="K557" s="1"/>
    </row>
    <row r="558" spans="1:11" x14ac:dyDescent="0.35">
      <c r="A558" t="s">
        <v>418</v>
      </c>
      <c r="B558" t="s">
        <v>419</v>
      </c>
      <c r="C558">
        <v>86985</v>
      </c>
      <c r="D558">
        <v>821</v>
      </c>
      <c r="E558">
        <v>35887</v>
      </c>
      <c r="F558">
        <v>31</v>
      </c>
      <c r="G558">
        <v>80</v>
      </c>
      <c r="H558" t="b">
        <v>1</v>
      </c>
      <c r="I558">
        <f t="shared" si="16"/>
        <v>1</v>
      </c>
      <c r="J558" t="str">
        <f t="shared" si="17"/>
        <v>751-850 (Excellent)</v>
      </c>
      <c r="K558" s="1"/>
    </row>
    <row r="559" spans="1:11" x14ac:dyDescent="0.35">
      <c r="A559" t="s">
        <v>2625</v>
      </c>
      <c r="B559" t="s">
        <v>2626</v>
      </c>
      <c r="C559">
        <v>35273</v>
      </c>
      <c r="D559">
        <v>515</v>
      </c>
      <c r="E559">
        <v>35880</v>
      </c>
      <c r="F559">
        <v>10</v>
      </c>
      <c r="G559">
        <v>25</v>
      </c>
      <c r="H559" t="b">
        <v>0</v>
      </c>
      <c r="I559">
        <f t="shared" si="16"/>
        <v>0</v>
      </c>
      <c r="J559" t="str">
        <f t="shared" si="17"/>
        <v>451-600 (Fair)</v>
      </c>
      <c r="K559" s="1"/>
    </row>
    <row r="560" spans="1:11" x14ac:dyDescent="0.35">
      <c r="A560" t="s">
        <v>518</v>
      </c>
      <c r="B560" t="s">
        <v>519</v>
      </c>
      <c r="C560">
        <v>39071</v>
      </c>
      <c r="D560">
        <v>306</v>
      </c>
      <c r="E560">
        <v>35879</v>
      </c>
      <c r="F560">
        <v>35</v>
      </c>
      <c r="G560">
        <v>25</v>
      </c>
      <c r="H560" t="b">
        <v>0</v>
      </c>
      <c r="I560">
        <f t="shared" si="16"/>
        <v>0</v>
      </c>
      <c r="J560" t="str">
        <f t="shared" si="17"/>
        <v>300-450 (Poor)</v>
      </c>
      <c r="K560" s="1"/>
    </row>
    <row r="561" spans="1:11" x14ac:dyDescent="0.35">
      <c r="A561" t="s">
        <v>1090</v>
      </c>
      <c r="B561" t="s">
        <v>1091</v>
      </c>
      <c r="C561">
        <v>86057</v>
      </c>
      <c r="D561">
        <v>536</v>
      </c>
      <c r="E561">
        <v>35842</v>
      </c>
      <c r="F561">
        <v>24</v>
      </c>
      <c r="G561">
        <v>40</v>
      </c>
      <c r="H561" t="b">
        <v>0</v>
      </c>
      <c r="I561">
        <f t="shared" si="16"/>
        <v>0</v>
      </c>
      <c r="J561" t="str">
        <f t="shared" si="17"/>
        <v>451-600 (Fair)</v>
      </c>
      <c r="K561" s="1"/>
    </row>
    <row r="562" spans="1:11" x14ac:dyDescent="0.35">
      <c r="A562" t="s">
        <v>1250</v>
      </c>
      <c r="B562" t="s">
        <v>1251</v>
      </c>
      <c r="C562">
        <v>116511</v>
      </c>
      <c r="D562">
        <v>763</v>
      </c>
      <c r="E562">
        <v>35816</v>
      </c>
      <c r="F562">
        <v>18</v>
      </c>
      <c r="G562">
        <v>85</v>
      </c>
      <c r="H562" t="b">
        <v>1</v>
      </c>
      <c r="I562">
        <f t="shared" si="16"/>
        <v>1</v>
      </c>
      <c r="J562" t="str">
        <f t="shared" si="17"/>
        <v>751-850 (Excellent)</v>
      </c>
      <c r="K562" s="1"/>
    </row>
    <row r="563" spans="1:11" x14ac:dyDescent="0.35">
      <c r="A563" t="s">
        <v>3276</v>
      </c>
      <c r="B563" t="s">
        <v>3277</v>
      </c>
      <c r="C563">
        <v>109569</v>
      </c>
      <c r="D563">
        <v>580</v>
      </c>
      <c r="E563">
        <v>35791</v>
      </c>
      <c r="F563">
        <v>25</v>
      </c>
      <c r="G563">
        <v>65</v>
      </c>
      <c r="H563" t="b">
        <v>1</v>
      </c>
      <c r="I563">
        <f t="shared" si="16"/>
        <v>1</v>
      </c>
      <c r="J563" t="str">
        <f t="shared" si="17"/>
        <v>451-600 (Fair)</v>
      </c>
      <c r="K563" s="1"/>
    </row>
    <row r="564" spans="1:11" x14ac:dyDescent="0.35">
      <c r="A564" t="s">
        <v>3581</v>
      </c>
      <c r="B564" t="s">
        <v>3582</v>
      </c>
      <c r="C564">
        <v>148187</v>
      </c>
      <c r="D564">
        <v>651</v>
      </c>
      <c r="E564">
        <v>35717</v>
      </c>
      <c r="F564">
        <v>38</v>
      </c>
      <c r="G564">
        <v>70</v>
      </c>
      <c r="H564" t="b">
        <v>1</v>
      </c>
      <c r="I564">
        <f t="shared" si="16"/>
        <v>1</v>
      </c>
      <c r="J564" t="str">
        <f t="shared" si="17"/>
        <v>601-750 (Good)</v>
      </c>
      <c r="K564" s="1"/>
    </row>
    <row r="565" spans="1:11" x14ac:dyDescent="0.35">
      <c r="A565" t="s">
        <v>1088</v>
      </c>
      <c r="B565" t="s">
        <v>1089</v>
      </c>
      <c r="C565">
        <v>122493</v>
      </c>
      <c r="D565">
        <v>572</v>
      </c>
      <c r="E565">
        <v>35669</v>
      </c>
      <c r="F565">
        <v>2</v>
      </c>
      <c r="G565">
        <v>40</v>
      </c>
      <c r="H565" t="b">
        <v>0</v>
      </c>
      <c r="I565">
        <f t="shared" si="16"/>
        <v>0</v>
      </c>
      <c r="J565" t="str">
        <f t="shared" si="17"/>
        <v>451-600 (Fair)</v>
      </c>
      <c r="K565" s="1"/>
    </row>
    <row r="566" spans="1:11" x14ac:dyDescent="0.35">
      <c r="A566" t="s">
        <v>3866</v>
      </c>
      <c r="B566" t="s">
        <v>3867</v>
      </c>
      <c r="C566">
        <v>82262</v>
      </c>
      <c r="D566">
        <v>315</v>
      </c>
      <c r="E566">
        <v>35600</v>
      </c>
      <c r="F566">
        <v>14</v>
      </c>
      <c r="G566">
        <v>40</v>
      </c>
      <c r="H566" t="b">
        <v>0</v>
      </c>
      <c r="I566">
        <f t="shared" si="16"/>
        <v>0</v>
      </c>
      <c r="J566" t="str">
        <f t="shared" si="17"/>
        <v>300-450 (Poor)</v>
      </c>
      <c r="K566" s="1"/>
    </row>
    <row r="567" spans="1:11" x14ac:dyDescent="0.35">
      <c r="A567" t="s">
        <v>1691</v>
      </c>
      <c r="B567" t="s">
        <v>1692</v>
      </c>
      <c r="C567">
        <v>40561</v>
      </c>
      <c r="D567">
        <v>324</v>
      </c>
      <c r="E567">
        <v>35596</v>
      </c>
      <c r="F567">
        <v>20</v>
      </c>
      <c r="G567">
        <v>25</v>
      </c>
      <c r="H567" t="b">
        <v>0</v>
      </c>
      <c r="I567">
        <f t="shared" si="16"/>
        <v>0</v>
      </c>
      <c r="J567" t="str">
        <f t="shared" si="17"/>
        <v>300-450 (Poor)</v>
      </c>
      <c r="K567" s="1"/>
    </row>
    <row r="568" spans="1:11" x14ac:dyDescent="0.35">
      <c r="A568" t="s">
        <v>1944</v>
      </c>
      <c r="B568" t="s">
        <v>1945</v>
      </c>
      <c r="C568">
        <v>130518</v>
      </c>
      <c r="D568">
        <v>373</v>
      </c>
      <c r="E568">
        <v>35592</v>
      </c>
      <c r="F568">
        <v>18</v>
      </c>
      <c r="G568">
        <v>50</v>
      </c>
      <c r="H568" t="b">
        <v>0</v>
      </c>
      <c r="I568">
        <f t="shared" si="16"/>
        <v>0</v>
      </c>
      <c r="J568" t="str">
        <f t="shared" si="17"/>
        <v>300-450 (Poor)</v>
      </c>
      <c r="K568" s="1"/>
    </row>
    <row r="569" spans="1:11" x14ac:dyDescent="0.35">
      <c r="A569" t="s">
        <v>3477</v>
      </c>
      <c r="B569" t="s">
        <v>3478</v>
      </c>
      <c r="C569">
        <v>38285</v>
      </c>
      <c r="D569">
        <v>305</v>
      </c>
      <c r="E569">
        <v>35590</v>
      </c>
      <c r="F569">
        <v>28</v>
      </c>
      <c r="G569">
        <v>25</v>
      </c>
      <c r="H569" t="b">
        <v>0</v>
      </c>
      <c r="I569">
        <f t="shared" si="16"/>
        <v>0</v>
      </c>
      <c r="J569" t="str">
        <f t="shared" si="17"/>
        <v>300-450 (Poor)</v>
      </c>
      <c r="K569" s="1"/>
    </row>
    <row r="570" spans="1:11" x14ac:dyDescent="0.35">
      <c r="A570" t="s">
        <v>2239</v>
      </c>
      <c r="B570" t="s">
        <v>2240</v>
      </c>
      <c r="C570">
        <v>122124</v>
      </c>
      <c r="D570">
        <v>834</v>
      </c>
      <c r="E570">
        <v>35576</v>
      </c>
      <c r="F570">
        <v>15</v>
      </c>
      <c r="G570">
        <v>90</v>
      </c>
      <c r="H570" t="b">
        <v>1</v>
      </c>
      <c r="I570">
        <f t="shared" si="16"/>
        <v>1</v>
      </c>
      <c r="J570" t="str">
        <f t="shared" si="17"/>
        <v>751-850 (Excellent)</v>
      </c>
      <c r="K570" s="1"/>
    </row>
    <row r="571" spans="1:11" x14ac:dyDescent="0.35">
      <c r="A571" t="s">
        <v>2888</v>
      </c>
      <c r="B571" t="s">
        <v>2889</v>
      </c>
      <c r="C571">
        <v>116499</v>
      </c>
      <c r="D571">
        <v>356</v>
      </c>
      <c r="E571">
        <v>35573</v>
      </c>
      <c r="F571">
        <v>2</v>
      </c>
      <c r="G571">
        <v>40</v>
      </c>
      <c r="H571" t="b">
        <v>0</v>
      </c>
      <c r="I571">
        <f t="shared" si="16"/>
        <v>0</v>
      </c>
      <c r="J571" t="str">
        <f t="shared" si="17"/>
        <v>300-450 (Poor)</v>
      </c>
      <c r="K571" s="1"/>
    </row>
    <row r="572" spans="1:11" x14ac:dyDescent="0.35">
      <c r="A572" t="s">
        <v>331</v>
      </c>
      <c r="B572" t="s">
        <v>332</v>
      </c>
      <c r="C572">
        <v>86155</v>
      </c>
      <c r="D572">
        <v>814</v>
      </c>
      <c r="E572">
        <v>35567</v>
      </c>
      <c r="F572">
        <v>26</v>
      </c>
      <c r="G572">
        <v>80</v>
      </c>
      <c r="H572" t="b">
        <v>1</v>
      </c>
      <c r="I572">
        <f t="shared" si="16"/>
        <v>1</v>
      </c>
      <c r="J572" t="str">
        <f t="shared" si="17"/>
        <v>751-850 (Excellent)</v>
      </c>
      <c r="K572" s="1"/>
    </row>
    <row r="573" spans="1:11" x14ac:dyDescent="0.35">
      <c r="A573" t="s">
        <v>2102</v>
      </c>
      <c r="B573" t="s">
        <v>2103</v>
      </c>
      <c r="C573">
        <v>62177</v>
      </c>
      <c r="D573">
        <v>443</v>
      </c>
      <c r="E573">
        <v>35566</v>
      </c>
      <c r="F573">
        <v>19</v>
      </c>
      <c r="G573">
        <v>35</v>
      </c>
      <c r="H573" t="b">
        <v>0</v>
      </c>
      <c r="I573">
        <f t="shared" si="16"/>
        <v>0</v>
      </c>
      <c r="J573" t="str">
        <f t="shared" si="17"/>
        <v>300-450 (Poor)</v>
      </c>
      <c r="K573" s="1"/>
    </row>
    <row r="574" spans="1:11" x14ac:dyDescent="0.35">
      <c r="A574" t="s">
        <v>713</v>
      </c>
      <c r="B574" t="s">
        <v>714</v>
      </c>
      <c r="C574">
        <v>100292</v>
      </c>
      <c r="D574">
        <v>413</v>
      </c>
      <c r="E574">
        <v>35491</v>
      </c>
      <c r="F574">
        <v>23</v>
      </c>
      <c r="G574">
        <v>50</v>
      </c>
      <c r="H574" t="b">
        <v>0</v>
      </c>
      <c r="I574">
        <f t="shared" si="16"/>
        <v>0</v>
      </c>
      <c r="J574" t="str">
        <f t="shared" si="17"/>
        <v>300-450 (Poor)</v>
      </c>
      <c r="K574" s="1"/>
    </row>
    <row r="575" spans="1:11" x14ac:dyDescent="0.35">
      <c r="A575" t="s">
        <v>1577</v>
      </c>
      <c r="B575" t="s">
        <v>1578</v>
      </c>
      <c r="C575">
        <v>121214</v>
      </c>
      <c r="D575">
        <v>304</v>
      </c>
      <c r="E575">
        <v>35472</v>
      </c>
      <c r="F575">
        <v>36</v>
      </c>
      <c r="G575">
        <v>50</v>
      </c>
      <c r="H575" t="b">
        <v>0</v>
      </c>
      <c r="I575">
        <f t="shared" si="16"/>
        <v>0</v>
      </c>
      <c r="J575" t="str">
        <f t="shared" si="17"/>
        <v>300-450 (Poor)</v>
      </c>
      <c r="K575" s="1"/>
    </row>
    <row r="576" spans="1:11" x14ac:dyDescent="0.35">
      <c r="A576" t="s">
        <v>1819</v>
      </c>
      <c r="B576" t="s">
        <v>1820</v>
      </c>
      <c r="C576">
        <v>111560</v>
      </c>
      <c r="D576">
        <v>552</v>
      </c>
      <c r="E576">
        <v>35462</v>
      </c>
      <c r="F576">
        <v>21</v>
      </c>
      <c r="G576">
        <v>50</v>
      </c>
      <c r="H576" t="b">
        <v>0</v>
      </c>
      <c r="I576">
        <f t="shared" si="16"/>
        <v>0</v>
      </c>
      <c r="J576" t="str">
        <f t="shared" si="17"/>
        <v>451-600 (Fair)</v>
      </c>
      <c r="K576" s="1"/>
    </row>
    <row r="577" spans="1:11" x14ac:dyDescent="0.35">
      <c r="A577" t="s">
        <v>2672</v>
      </c>
      <c r="B577" t="s">
        <v>2673</v>
      </c>
      <c r="C577">
        <v>51079</v>
      </c>
      <c r="D577">
        <v>473</v>
      </c>
      <c r="E577">
        <v>35421</v>
      </c>
      <c r="F577">
        <v>30</v>
      </c>
      <c r="G577">
        <v>35</v>
      </c>
      <c r="H577" t="b">
        <v>0</v>
      </c>
      <c r="I577">
        <f t="shared" si="16"/>
        <v>0</v>
      </c>
      <c r="J577" t="str">
        <f t="shared" si="17"/>
        <v>451-600 (Fair)</v>
      </c>
      <c r="K577" s="1"/>
    </row>
    <row r="578" spans="1:11" x14ac:dyDescent="0.35">
      <c r="A578" t="s">
        <v>2437</v>
      </c>
      <c r="B578" t="s">
        <v>2438</v>
      </c>
      <c r="C578">
        <v>37894</v>
      </c>
      <c r="D578">
        <v>830</v>
      </c>
      <c r="E578">
        <v>35419</v>
      </c>
      <c r="F578">
        <v>37</v>
      </c>
      <c r="G578">
        <v>65</v>
      </c>
      <c r="H578" t="b">
        <v>1</v>
      </c>
      <c r="I578">
        <f t="shared" si="16"/>
        <v>1</v>
      </c>
      <c r="J578" t="str">
        <f t="shared" si="17"/>
        <v>751-850 (Excellent)</v>
      </c>
      <c r="K578" s="1"/>
    </row>
    <row r="579" spans="1:11" x14ac:dyDescent="0.35">
      <c r="A579" t="s">
        <v>3126</v>
      </c>
      <c r="B579" t="s">
        <v>3127</v>
      </c>
      <c r="C579">
        <v>53600</v>
      </c>
      <c r="D579">
        <v>415</v>
      </c>
      <c r="E579">
        <v>35377</v>
      </c>
      <c r="F579">
        <v>17</v>
      </c>
      <c r="G579">
        <v>35</v>
      </c>
      <c r="H579" t="b">
        <v>0</v>
      </c>
      <c r="I579">
        <f t="shared" si="16"/>
        <v>0</v>
      </c>
      <c r="J579" t="str">
        <f t="shared" si="17"/>
        <v>300-450 (Poor)</v>
      </c>
      <c r="K579" s="1"/>
    </row>
    <row r="580" spans="1:11" x14ac:dyDescent="0.35">
      <c r="A580" t="s">
        <v>1035</v>
      </c>
      <c r="B580" t="s">
        <v>1036</v>
      </c>
      <c r="C580">
        <v>56685</v>
      </c>
      <c r="D580">
        <v>706</v>
      </c>
      <c r="E580">
        <v>35339</v>
      </c>
      <c r="F580">
        <v>5</v>
      </c>
      <c r="G580">
        <v>55</v>
      </c>
      <c r="H580" t="b">
        <v>0</v>
      </c>
      <c r="I580">
        <f t="shared" ref="I580:I643" si="18">--H580</f>
        <v>0</v>
      </c>
      <c r="J580" t="str">
        <f t="shared" ref="J580:J643" si="19">IF(D580&gt;750, "751-850 (Excellent)", IF(D580&gt;600, "601-750 (Good)", IF(D580&gt;450, "451-600 (Fair)", "300-450 (Poor)")))</f>
        <v>601-750 (Good)</v>
      </c>
      <c r="K580" s="1"/>
    </row>
    <row r="581" spans="1:11" x14ac:dyDescent="0.35">
      <c r="A581" t="s">
        <v>2892</v>
      </c>
      <c r="B581" t="s">
        <v>2893</v>
      </c>
      <c r="C581">
        <v>143411</v>
      </c>
      <c r="D581">
        <v>820</v>
      </c>
      <c r="E581">
        <v>35339</v>
      </c>
      <c r="F581">
        <v>11</v>
      </c>
      <c r="G581">
        <v>95</v>
      </c>
      <c r="H581" t="b">
        <v>1</v>
      </c>
      <c r="I581">
        <f t="shared" si="18"/>
        <v>1</v>
      </c>
      <c r="J581" t="str">
        <f t="shared" si="19"/>
        <v>751-850 (Excellent)</v>
      </c>
      <c r="K581" s="1"/>
    </row>
    <row r="582" spans="1:11" x14ac:dyDescent="0.35">
      <c r="A582" t="s">
        <v>1041</v>
      </c>
      <c r="B582" t="s">
        <v>1042</v>
      </c>
      <c r="C582">
        <v>141792</v>
      </c>
      <c r="D582">
        <v>745</v>
      </c>
      <c r="E582">
        <v>35305</v>
      </c>
      <c r="F582">
        <v>40</v>
      </c>
      <c r="G582">
        <v>90</v>
      </c>
      <c r="H582" t="b">
        <v>1</v>
      </c>
      <c r="I582">
        <f t="shared" si="18"/>
        <v>1</v>
      </c>
      <c r="J582" t="str">
        <f t="shared" si="19"/>
        <v>601-750 (Good)</v>
      </c>
      <c r="K582" s="1"/>
    </row>
    <row r="583" spans="1:11" x14ac:dyDescent="0.35">
      <c r="A583" t="s">
        <v>821</v>
      </c>
      <c r="B583" t="s">
        <v>822</v>
      </c>
      <c r="C583">
        <v>37665</v>
      </c>
      <c r="D583">
        <v>569</v>
      </c>
      <c r="E583">
        <v>35284</v>
      </c>
      <c r="F583">
        <v>12</v>
      </c>
      <c r="G583">
        <v>25</v>
      </c>
      <c r="H583" t="b">
        <v>0</v>
      </c>
      <c r="I583">
        <f t="shared" si="18"/>
        <v>0</v>
      </c>
      <c r="J583" t="str">
        <f t="shared" si="19"/>
        <v>451-600 (Fair)</v>
      </c>
      <c r="K583" s="1"/>
    </row>
    <row r="584" spans="1:11" x14ac:dyDescent="0.35">
      <c r="A584" t="s">
        <v>3087</v>
      </c>
      <c r="B584" t="s">
        <v>3088</v>
      </c>
      <c r="C584">
        <v>51805</v>
      </c>
      <c r="D584">
        <v>704</v>
      </c>
      <c r="E584">
        <v>35283</v>
      </c>
      <c r="F584">
        <v>25</v>
      </c>
      <c r="G584">
        <v>60</v>
      </c>
      <c r="H584" t="b">
        <v>1</v>
      </c>
      <c r="I584">
        <f t="shared" si="18"/>
        <v>1</v>
      </c>
      <c r="J584" t="str">
        <f t="shared" si="19"/>
        <v>601-750 (Good)</v>
      </c>
      <c r="K584" s="1"/>
    </row>
    <row r="585" spans="1:11" x14ac:dyDescent="0.35">
      <c r="A585" t="s">
        <v>3549</v>
      </c>
      <c r="B585" t="s">
        <v>3550</v>
      </c>
      <c r="C585">
        <v>110694</v>
      </c>
      <c r="D585">
        <v>374</v>
      </c>
      <c r="E585">
        <v>35264</v>
      </c>
      <c r="F585">
        <v>11</v>
      </c>
      <c r="G585">
        <v>50</v>
      </c>
      <c r="H585" t="b">
        <v>0</v>
      </c>
      <c r="I585">
        <f t="shared" si="18"/>
        <v>0</v>
      </c>
      <c r="J585" t="str">
        <f t="shared" si="19"/>
        <v>300-450 (Poor)</v>
      </c>
      <c r="K585" s="1"/>
    </row>
    <row r="586" spans="1:11" x14ac:dyDescent="0.35">
      <c r="A586" t="s">
        <v>3862</v>
      </c>
      <c r="B586" t="s">
        <v>3863</v>
      </c>
      <c r="C586">
        <v>138451</v>
      </c>
      <c r="D586">
        <v>342</v>
      </c>
      <c r="E586">
        <v>35261</v>
      </c>
      <c r="F586">
        <v>39</v>
      </c>
      <c r="G586">
        <v>50</v>
      </c>
      <c r="H586" t="b">
        <v>0</v>
      </c>
      <c r="I586">
        <f t="shared" si="18"/>
        <v>0</v>
      </c>
      <c r="J586" t="str">
        <f t="shared" si="19"/>
        <v>300-450 (Poor)</v>
      </c>
      <c r="K586" s="1"/>
    </row>
    <row r="587" spans="1:11" x14ac:dyDescent="0.35">
      <c r="A587" t="s">
        <v>3356</v>
      </c>
      <c r="B587" t="s">
        <v>499</v>
      </c>
      <c r="C587">
        <v>144879</v>
      </c>
      <c r="D587">
        <v>679</v>
      </c>
      <c r="E587">
        <v>35211</v>
      </c>
      <c r="F587">
        <v>16</v>
      </c>
      <c r="G587">
        <v>80</v>
      </c>
      <c r="H587" t="b">
        <v>1</v>
      </c>
      <c r="I587">
        <f t="shared" si="18"/>
        <v>1</v>
      </c>
      <c r="J587" t="str">
        <f t="shared" si="19"/>
        <v>601-750 (Good)</v>
      </c>
      <c r="K587" s="1"/>
    </row>
    <row r="588" spans="1:11" x14ac:dyDescent="0.35">
      <c r="A588" t="s">
        <v>1658</v>
      </c>
      <c r="B588" t="s">
        <v>288</v>
      </c>
      <c r="C588">
        <v>130376</v>
      </c>
      <c r="D588">
        <v>619</v>
      </c>
      <c r="E588">
        <v>35166</v>
      </c>
      <c r="F588">
        <v>21</v>
      </c>
      <c r="G588">
        <v>65</v>
      </c>
      <c r="H588" t="b">
        <v>1</v>
      </c>
      <c r="I588">
        <f t="shared" si="18"/>
        <v>1</v>
      </c>
      <c r="J588" t="str">
        <f t="shared" si="19"/>
        <v>601-750 (Good)</v>
      </c>
      <c r="K588" s="1"/>
    </row>
    <row r="589" spans="1:11" x14ac:dyDescent="0.35">
      <c r="A589" t="s">
        <v>1204</v>
      </c>
      <c r="B589" t="s">
        <v>1205</v>
      </c>
      <c r="C589">
        <v>62527</v>
      </c>
      <c r="D589">
        <v>357</v>
      </c>
      <c r="E589">
        <v>35149</v>
      </c>
      <c r="F589">
        <v>19</v>
      </c>
      <c r="G589">
        <v>35</v>
      </c>
      <c r="H589" t="b">
        <v>0</v>
      </c>
      <c r="I589">
        <f t="shared" si="18"/>
        <v>0</v>
      </c>
      <c r="J589" t="str">
        <f t="shared" si="19"/>
        <v>300-450 (Poor)</v>
      </c>
      <c r="K589" s="1"/>
    </row>
    <row r="590" spans="1:11" x14ac:dyDescent="0.35">
      <c r="A590" t="s">
        <v>2158</v>
      </c>
      <c r="B590" t="s">
        <v>2159</v>
      </c>
      <c r="C590">
        <v>145357</v>
      </c>
      <c r="D590">
        <v>569</v>
      </c>
      <c r="E590">
        <v>35124</v>
      </c>
      <c r="F590">
        <v>0</v>
      </c>
      <c r="G590">
        <v>40</v>
      </c>
      <c r="H590" t="b">
        <v>0</v>
      </c>
      <c r="I590">
        <f t="shared" si="18"/>
        <v>0</v>
      </c>
      <c r="J590" t="str">
        <f t="shared" si="19"/>
        <v>451-600 (Fair)</v>
      </c>
      <c r="K590" s="1"/>
    </row>
    <row r="591" spans="1:11" x14ac:dyDescent="0.35">
      <c r="A591" t="s">
        <v>1292</v>
      </c>
      <c r="B591" t="s">
        <v>1293</v>
      </c>
      <c r="C591">
        <v>106099</v>
      </c>
      <c r="D591">
        <v>499</v>
      </c>
      <c r="E591">
        <v>35075</v>
      </c>
      <c r="F591">
        <v>21</v>
      </c>
      <c r="G591">
        <v>50</v>
      </c>
      <c r="H591" t="b">
        <v>0</v>
      </c>
      <c r="I591">
        <f t="shared" si="18"/>
        <v>0</v>
      </c>
      <c r="J591" t="str">
        <f t="shared" si="19"/>
        <v>451-600 (Fair)</v>
      </c>
      <c r="K591" s="1"/>
    </row>
    <row r="592" spans="1:11" x14ac:dyDescent="0.35">
      <c r="A592" t="s">
        <v>2882</v>
      </c>
      <c r="B592" t="s">
        <v>2883</v>
      </c>
      <c r="C592">
        <v>139769</v>
      </c>
      <c r="D592">
        <v>401</v>
      </c>
      <c r="E592">
        <v>35068</v>
      </c>
      <c r="F592">
        <v>5</v>
      </c>
      <c r="G592">
        <v>45</v>
      </c>
      <c r="H592" t="b">
        <v>0</v>
      </c>
      <c r="I592">
        <f t="shared" si="18"/>
        <v>0</v>
      </c>
      <c r="J592" t="str">
        <f t="shared" si="19"/>
        <v>300-450 (Poor)</v>
      </c>
      <c r="K592" s="1"/>
    </row>
    <row r="593" spans="1:11" x14ac:dyDescent="0.35">
      <c r="A593" t="s">
        <v>1390</v>
      </c>
      <c r="B593" t="s">
        <v>1391</v>
      </c>
      <c r="C593">
        <v>72753</v>
      </c>
      <c r="D593">
        <v>537</v>
      </c>
      <c r="E593">
        <v>35053</v>
      </c>
      <c r="F593">
        <v>21</v>
      </c>
      <c r="G593">
        <v>35</v>
      </c>
      <c r="H593" t="b">
        <v>0</v>
      </c>
      <c r="I593">
        <f t="shared" si="18"/>
        <v>0</v>
      </c>
      <c r="J593" t="str">
        <f t="shared" si="19"/>
        <v>451-600 (Fair)</v>
      </c>
      <c r="K593" s="1"/>
    </row>
    <row r="594" spans="1:11" x14ac:dyDescent="0.35">
      <c r="A594" t="s">
        <v>625</v>
      </c>
      <c r="B594" t="s">
        <v>626</v>
      </c>
      <c r="C594">
        <v>97391</v>
      </c>
      <c r="D594">
        <v>531</v>
      </c>
      <c r="E594">
        <v>35042</v>
      </c>
      <c r="F594">
        <v>28</v>
      </c>
      <c r="G594">
        <v>45</v>
      </c>
      <c r="H594" t="b">
        <v>0</v>
      </c>
      <c r="I594">
        <f t="shared" si="18"/>
        <v>0</v>
      </c>
      <c r="J594" t="str">
        <f t="shared" si="19"/>
        <v>451-600 (Fair)</v>
      </c>
      <c r="K594" s="1"/>
    </row>
    <row r="595" spans="1:11" x14ac:dyDescent="0.35">
      <c r="A595" t="s">
        <v>1786</v>
      </c>
      <c r="B595" t="s">
        <v>800</v>
      </c>
      <c r="C595">
        <v>93993</v>
      </c>
      <c r="D595">
        <v>755</v>
      </c>
      <c r="E595">
        <v>35001</v>
      </c>
      <c r="F595">
        <v>22</v>
      </c>
      <c r="G595">
        <v>80</v>
      </c>
      <c r="H595" t="b">
        <v>1</v>
      </c>
      <c r="I595">
        <f t="shared" si="18"/>
        <v>1</v>
      </c>
      <c r="J595" t="str">
        <f t="shared" si="19"/>
        <v>751-850 (Excellent)</v>
      </c>
      <c r="K595" s="1"/>
    </row>
    <row r="596" spans="1:11" x14ac:dyDescent="0.35">
      <c r="A596" t="s">
        <v>3004</v>
      </c>
      <c r="B596" t="s">
        <v>3005</v>
      </c>
      <c r="C596">
        <v>39807</v>
      </c>
      <c r="D596">
        <v>540</v>
      </c>
      <c r="E596">
        <v>34997</v>
      </c>
      <c r="F596">
        <v>31</v>
      </c>
      <c r="G596">
        <v>25</v>
      </c>
      <c r="H596" t="b">
        <v>0</v>
      </c>
      <c r="I596">
        <f t="shared" si="18"/>
        <v>0</v>
      </c>
      <c r="J596" t="str">
        <f t="shared" si="19"/>
        <v>451-600 (Fair)</v>
      </c>
      <c r="K596" s="1"/>
    </row>
    <row r="597" spans="1:11" x14ac:dyDescent="0.35">
      <c r="A597" t="s">
        <v>1438</v>
      </c>
      <c r="B597" t="s">
        <v>1439</v>
      </c>
      <c r="C597">
        <v>86346</v>
      </c>
      <c r="D597">
        <v>440</v>
      </c>
      <c r="E597">
        <v>34958</v>
      </c>
      <c r="F597">
        <v>18</v>
      </c>
      <c r="G597">
        <v>40</v>
      </c>
      <c r="H597" t="b">
        <v>0</v>
      </c>
      <c r="I597">
        <f t="shared" si="18"/>
        <v>0</v>
      </c>
      <c r="J597" t="str">
        <f t="shared" si="19"/>
        <v>300-450 (Poor)</v>
      </c>
      <c r="K597" s="1"/>
    </row>
    <row r="598" spans="1:11" x14ac:dyDescent="0.35">
      <c r="A598" t="s">
        <v>2202</v>
      </c>
      <c r="B598" t="s">
        <v>2203</v>
      </c>
      <c r="C598">
        <v>42196</v>
      </c>
      <c r="D598">
        <v>323</v>
      </c>
      <c r="E598">
        <v>34947</v>
      </c>
      <c r="F598">
        <v>32</v>
      </c>
      <c r="G598">
        <v>25</v>
      </c>
      <c r="H598" t="b">
        <v>0</v>
      </c>
      <c r="I598">
        <f t="shared" si="18"/>
        <v>0</v>
      </c>
      <c r="J598" t="str">
        <f t="shared" si="19"/>
        <v>300-450 (Poor)</v>
      </c>
      <c r="K598" s="1"/>
    </row>
    <row r="599" spans="1:11" x14ac:dyDescent="0.35">
      <c r="A599" t="s">
        <v>637</v>
      </c>
      <c r="B599" t="s">
        <v>638</v>
      </c>
      <c r="C599">
        <v>100678</v>
      </c>
      <c r="D599">
        <v>510</v>
      </c>
      <c r="E599">
        <v>34931</v>
      </c>
      <c r="F599">
        <v>38</v>
      </c>
      <c r="G599">
        <v>50</v>
      </c>
      <c r="H599" t="b">
        <v>0</v>
      </c>
      <c r="I599">
        <f t="shared" si="18"/>
        <v>0</v>
      </c>
      <c r="J599" t="str">
        <f t="shared" si="19"/>
        <v>451-600 (Fair)</v>
      </c>
      <c r="K599" s="1"/>
    </row>
    <row r="600" spans="1:11" x14ac:dyDescent="0.35">
      <c r="A600" t="s">
        <v>1099</v>
      </c>
      <c r="B600" t="s">
        <v>1100</v>
      </c>
      <c r="C600">
        <v>145750</v>
      </c>
      <c r="D600">
        <v>316</v>
      </c>
      <c r="E600">
        <v>34922</v>
      </c>
      <c r="F600">
        <v>8</v>
      </c>
      <c r="G600">
        <v>50</v>
      </c>
      <c r="H600" t="b">
        <v>0</v>
      </c>
      <c r="I600">
        <f t="shared" si="18"/>
        <v>0</v>
      </c>
      <c r="J600" t="str">
        <f t="shared" si="19"/>
        <v>300-450 (Poor)</v>
      </c>
      <c r="K600" s="1"/>
    </row>
    <row r="601" spans="1:11" x14ac:dyDescent="0.35">
      <c r="A601" t="s">
        <v>1747</v>
      </c>
      <c r="B601" t="s">
        <v>1748</v>
      </c>
      <c r="C601">
        <v>105456</v>
      </c>
      <c r="D601">
        <v>764</v>
      </c>
      <c r="E601">
        <v>34896</v>
      </c>
      <c r="F601">
        <v>21</v>
      </c>
      <c r="G601">
        <v>85</v>
      </c>
      <c r="H601" t="b">
        <v>1</v>
      </c>
      <c r="I601">
        <f t="shared" si="18"/>
        <v>1</v>
      </c>
      <c r="J601" t="str">
        <f t="shared" si="19"/>
        <v>751-850 (Excellent)</v>
      </c>
      <c r="K601" s="1"/>
    </row>
    <row r="602" spans="1:11" x14ac:dyDescent="0.35">
      <c r="A602" t="s">
        <v>1569</v>
      </c>
      <c r="B602" t="s">
        <v>1570</v>
      </c>
      <c r="C602">
        <v>85724</v>
      </c>
      <c r="D602">
        <v>570</v>
      </c>
      <c r="E602">
        <v>34880</v>
      </c>
      <c r="F602">
        <v>20</v>
      </c>
      <c r="G602">
        <v>40</v>
      </c>
      <c r="H602" t="b">
        <v>0</v>
      </c>
      <c r="I602">
        <f t="shared" si="18"/>
        <v>0</v>
      </c>
      <c r="J602" t="str">
        <f t="shared" si="19"/>
        <v>451-600 (Fair)</v>
      </c>
      <c r="K602" s="1"/>
    </row>
    <row r="603" spans="1:11" x14ac:dyDescent="0.35">
      <c r="A603" t="s">
        <v>2772</v>
      </c>
      <c r="B603" t="s">
        <v>2773</v>
      </c>
      <c r="C603">
        <v>109806</v>
      </c>
      <c r="D603">
        <v>832</v>
      </c>
      <c r="E603">
        <v>34875</v>
      </c>
      <c r="F603">
        <v>36</v>
      </c>
      <c r="G603">
        <v>90</v>
      </c>
      <c r="H603" t="b">
        <v>1</v>
      </c>
      <c r="I603">
        <f t="shared" si="18"/>
        <v>1</v>
      </c>
      <c r="J603" t="str">
        <f t="shared" si="19"/>
        <v>751-850 (Excellent)</v>
      </c>
      <c r="K603" s="1"/>
    </row>
    <row r="604" spans="1:11" x14ac:dyDescent="0.35">
      <c r="A604" t="s">
        <v>3697</v>
      </c>
      <c r="B604" t="s">
        <v>3698</v>
      </c>
      <c r="C604">
        <v>61186</v>
      </c>
      <c r="D604">
        <v>313</v>
      </c>
      <c r="E604">
        <v>34872</v>
      </c>
      <c r="F604">
        <v>6</v>
      </c>
      <c r="G604">
        <v>30</v>
      </c>
      <c r="H604" t="b">
        <v>0</v>
      </c>
      <c r="I604">
        <f t="shared" si="18"/>
        <v>0</v>
      </c>
      <c r="J604" t="str">
        <f t="shared" si="19"/>
        <v>300-450 (Poor)</v>
      </c>
      <c r="K604" s="1"/>
    </row>
    <row r="605" spans="1:11" x14ac:dyDescent="0.35">
      <c r="A605" t="s">
        <v>157</v>
      </c>
      <c r="B605" t="s">
        <v>158</v>
      </c>
      <c r="C605">
        <v>112397</v>
      </c>
      <c r="D605">
        <v>310</v>
      </c>
      <c r="E605">
        <v>34857</v>
      </c>
      <c r="F605">
        <v>12</v>
      </c>
      <c r="G605">
        <v>50</v>
      </c>
      <c r="H605" t="b">
        <v>0</v>
      </c>
      <c r="I605">
        <f t="shared" si="18"/>
        <v>0</v>
      </c>
      <c r="J605" t="str">
        <f t="shared" si="19"/>
        <v>300-450 (Poor)</v>
      </c>
      <c r="K605" s="1"/>
    </row>
    <row r="606" spans="1:11" x14ac:dyDescent="0.35">
      <c r="A606" t="s">
        <v>2701</v>
      </c>
      <c r="B606" t="s">
        <v>2702</v>
      </c>
      <c r="C606">
        <v>63082</v>
      </c>
      <c r="D606">
        <v>633</v>
      </c>
      <c r="E606">
        <v>34847</v>
      </c>
      <c r="F606">
        <v>30</v>
      </c>
      <c r="G606">
        <v>50</v>
      </c>
      <c r="H606" t="b">
        <v>0</v>
      </c>
      <c r="I606">
        <f t="shared" si="18"/>
        <v>0</v>
      </c>
      <c r="J606" t="str">
        <f t="shared" si="19"/>
        <v>601-750 (Good)</v>
      </c>
      <c r="K606" s="1"/>
    </row>
    <row r="607" spans="1:11" x14ac:dyDescent="0.35">
      <c r="A607" t="s">
        <v>2545</v>
      </c>
      <c r="B607" t="s">
        <v>2546</v>
      </c>
      <c r="C607">
        <v>133891</v>
      </c>
      <c r="D607">
        <v>675</v>
      </c>
      <c r="E607">
        <v>34838</v>
      </c>
      <c r="F607">
        <v>0</v>
      </c>
      <c r="G607">
        <v>60</v>
      </c>
      <c r="H607" t="b">
        <v>1</v>
      </c>
      <c r="I607">
        <f t="shared" si="18"/>
        <v>1</v>
      </c>
      <c r="J607" t="str">
        <f t="shared" si="19"/>
        <v>601-750 (Good)</v>
      </c>
      <c r="K607" s="1"/>
    </row>
    <row r="608" spans="1:11" x14ac:dyDescent="0.35">
      <c r="A608" t="s">
        <v>1216</v>
      </c>
      <c r="B608" t="s">
        <v>1217</v>
      </c>
      <c r="C608">
        <v>80140</v>
      </c>
      <c r="D608">
        <v>400</v>
      </c>
      <c r="E608">
        <v>34826</v>
      </c>
      <c r="F608">
        <v>8</v>
      </c>
      <c r="G608">
        <v>35</v>
      </c>
      <c r="H608" t="b">
        <v>0</v>
      </c>
      <c r="I608">
        <f t="shared" si="18"/>
        <v>0</v>
      </c>
      <c r="J608" t="str">
        <f t="shared" si="19"/>
        <v>300-450 (Poor)</v>
      </c>
      <c r="K608" s="1"/>
    </row>
    <row r="609" spans="1:11" x14ac:dyDescent="0.35">
      <c r="A609" t="s">
        <v>612</v>
      </c>
      <c r="B609" t="s">
        <v>613</v>
      </c>
      <c r="C609">
        <v>60007</v>
      </c>
      <c r="D609">
        <v>712</v>
      </c>
      <c r="E609">
        <v>34791</v>
      </c>
      <c r="F609">
        <v>17</v>
      </c>
      <c r="G609">
        <v>60</v>
      </c>
      <c r="H609" t="b">
        <v>1</v>
      </c>
      <c r="I609">
        <f t="shared" si="18"/>
        <v>1</v>
      </c>
      <c r="J609" t="str">
        <f t="shared" si="19"/>
        <v>601-750 (Good)</v>
      </c>
      <c r="K609" s="1"/>
    </row>
    <row r="610" spans="1:11" x14ac:dyDescent="0.35">
      <c r="A610" t="s">
        <v>1913</v>
      </c>
      <c r="B610" t="s">
        <v>1914</v>
      </c>
      <c r="C610">
        <v>62411</v>
      </c>
      <c r="D610">
        <v>786</v>
      </c>
      <c r="E610">
        <v>34745</v>
      </c>
      <c r="F610">
        <v>26</v>
      </c>
      <c r="G610">
        <v>70</v>
      </c>
      <c r="H610" t="b">
        <v>1</v>
      </c>
      <c r="I610">
        <f t="shared" si="18"/>
        <v>1</v>
      </c>
      <c r="J610" t="str">
        <f t="shared" si="19"/>
        <v>751-850 (Excellent)</v>
      </c>
      <c r="K610" s="1"/>
    </row>
    <row r="611" spans="1:11" x14ac:dyDescent="0.35">
      <c r="A611" t="s">
        <v>195</v>
      </c>
      <c r="B611" t="s">
        <v>196</v>
      </c>
      <c r="C611">
        <v>79823</v>
      </c>
      <c r="D611">
        <v>713</v>
      </c>
      <c r="E611">
        <v>34724</v>
      </c>
      <c r="F611">
        <v>0</v>
      </c>
      <c r="G611">
        <v>50</v>
      </c>
      <c r="H611" t="b">
        <v>0</v>
      </c>
      <c r="I611">
        <f t="shared" si="18"/>
        <v>0</v>
      </c>
      <c r="J611" t="str">
        <f t="shared" si="19"/>
        <v>601-750 (Good)</v>
      </c>
      <c r="K611" s="1"/>
    </row>
    <row r="612" spans="1:11" x14ac:dyDescent="0.35">
      <c r="A612" t="s">
        <v>2011</v>
      </c>
      <c r="B612" t="s">
        <v>2012</v>
      </c>
      <c r="C612">
        <v>108697</v>
      </c>
      <c r="D612">
        <v>841</v>
      </c>
      <c r="E612">
        <v>34706</v>
      </c>
      <c r="F612">
        <v>9</v>
      </c>
      <c r="G612">
        <v>85</v>
      </c>
      <c r="H612" t="b">
        <v>1</v>
      </c>
      <c r="I612">
        <f t="shared" si="18"/>
        <v>1</v>
      </c>
      <c r="J612" t="str">
        <f t="shared" si="19"/>
        <v>751-850 (Excellent)</v>
      </c>
      <c r="K612" s="1"/>
    </row>
    <row r="613" spans="1:11" x14ac:dyDescent="0.35">
      <c r="A613" t="s">
        <v>2961</v>
      </c>
      <c r="B613" t="s">
        <v>469</v>
      </c>
      <c r="C613">
        <v>49936</v>
      </c>
      <c r="D613">
        <v>496</v>
      </c>
      <c r="E613">
        <v>34647</v>
      </c>
      <c r="F613">
        <v>17</v>
      </c>
      <c r="G613">
        <v>25</v>
      </c>
      <c r="H613" t="b">
        <v>0</v>
      </c>
      <c r="I613">
        <f t="shared" si="18"/>
        <v>0</v>
      </c>
      <c r="J613" t="str">
        <f t="shared" si="19"/>
        <v>451-600 (Fair)</v>
      </c>
      <c r="K613" s="1"/>
    </row>
    <row r="614" spans="1:11" x14ac:dyDescent="0.35">
      <c r="A614" t="s">
        <v>1617</v>
      </c>
      <c r="B614" t="s">
        <v>1618</v>
      </c>
      <c r="C614">
        <v>136824</v>
      </c>
      <c r="D614">
        <v>797</v>
      </c>
      <c r="E614">
        <v>34643</v>
      </c>
      <c r="F614">
        <v>37</v>
      </c>
      <c r="G614">
        <v>85</v>
      </c>
      <c r="H614" t="b">
        <v>1</v>
      </c>
      <c r="I614">
        <f t="shared" si="18"/>
        <v>1</v>
      </c>
      <c r="J614" t="str">
        <f t="shared" si="19"/>
        <v>751-850 (Excellent)</v>
      </c>
      <c r="K614" s="1"/>
    </row>
    <row r="615" spans="1:11" x14ac:dyDescent="0.35">
      <c r="A615" t="s">
        <v>470</v>
      </c>
      <c r="B615" t="s">
        <v>471</v>
      </c>
      <c r="C615">
        <v>100697</v>
      </c>
      <c r="D615">
        <v>435</v>
      </c>
      <c r="E615">
        <v>34636</v>
      </c>
      <c r="F615">
        <v>26</v>
      </c>
      <c r="G615">
        <v>50</v>
      </c>
      <c r="H615" t="b">
        <v>0</v>
      </c>
      <c r="I615">
        <f t="shared" si="18"/>
        <v>0</v>
      </c>
      <c r="J615" t="str">
        <f t="shared" si="19"/>
        <v>300-450 (Poor)</v>
      </c>
      <c r="K615" s="1"/>
    </row>
    <row r="616" spans="1:11" x14ac:dyDescent="0.35">
      <c r="A616" t="s">
        <v>1430</v>
      </c>
      <c r="B616" t="s">
        <v>1431</v>
      </c>
      <c r="C616">
        <v>30053</v>
      </c>
      <c r="D616">
        <v>682</v>
      </c>
      <c r="E616">
        <v>34588</v>
      </c>
      <c r="F616">
        <v>36</v>
      </c>
      <c r="G616">
        <v>50</v>
      </c>
      <c r="H616" t="b">
        <v>0</v>
      </c>
      <c r="I616">
        <f t="shared" si="18"/>
        <v>0</v>
      </c>
      <c r="J616" t="str">
        <f t="shared" si="19"/>
        <v>601-750 (Good)</v>
      </c>
      <c r="K616" s="1"/>
    </row>
    <row r="617" spans="1:11" x14ac:dyDescent="0.35">
      <c r="A617" t="s">
        <v>819</v>
      </c>
      <c r="B617" t="s">
        <v>820</v>
      </c>
      <c r="C617">
        <v>58534</v>
      </c>
      <c r="D617">
        <v>407</v>
      </c>
      <c r="E617">
        <v>34527</v>
      </c>
      <c r="F617">
        <v>39</v>
      </c>
      <c r="G617">
        <v>35</v>
      </c>
      <c r="H617" t="b">
        <v>0</v>
      </c>
      <c r="I617">
        <f t="shared" si="18"/>
        <v>0</v>
      </c>
      <c r="J617" t="str">
        <f t="shared" si="19"/>
        <v>300-450 (Poor)</v>
      </c>
      <c r="K617" s="1"/>
    </row>
    <row r="618" spans="1:11" x14ac:dyDescent="0.35">
      <c r="A618" t="s">
        <v>2319</v>
      </c>
      <c r="B618" t="s">
        <v>2320</v>
      </c>
      <c r="C618">
        <v>37146</v>
      </c>
      <c r="D618">
        <v>474</v>
      </c>
      <c r="E618">
        <v>34522</v>
      </c>
      <c r="F618">
        <v>34</v>
      </c>
      <c r="G618">
        <v>25</v>
      </c>
      <c r="H618" t="b">
        <v>0</v>
      </c>
      <c r="I618">
        <f t="shared" si="18"/>
        <v>0</v>
      </c>
      <c r="J618" t="str">
        <f t="shared" si="19"/>
        <v>451-600 (Fair)</v>
      </c>
      <c r="K618" s="1"/>
    </row>
    <row r="619" spans="1:11" x14ac:dyDescent="0.35">
      <c r="A619" t="s">
        <v>1471</v>
      </c>
      <c r="B619" t="s">
        <v>1472</v>
      </c>
      <c r="C619">
        <v>52241</v>
      </c>
      <c r="D619">
        <v>796</v>
      </c>
      <c r="E619">
        <v>34516</v>
      </c>
      <c r="F619">
        <v>17</v>
      </c>
      <c r="G619">
        <v>70</v>
      </c>
      <c r="H619" t="b">
        <v>1</v>
      </c>
      <c r="I619">
        <f t="shared" si="18"/>
        <v>1</v>
      </c>
      <c r="J619" t="str">
        <f t="shared" si="19"/>
        <v>751-850 (Excellent)</v>
      </c>
      <c r="K619" s="1"/>
    </row>
    <row r="620" spans="1:11" x14ac:dyDescent="0.35">
      <c r="A620" t="s">
        <v>111</v>
      </c>
      <c r="B620" t="s">
        <v>112</v>
      </c>
      <c r="C620">
        <v>58221</v>
      </c>
      <c r="D620">
        <v>518</v>
      </c>
      <c r="E620">
        <v>34500</v>
      </c>
      <c r="F620">
        <v>30</v>
      </c>
      <c r="G620">
        <v>35</v>
      </c>
      <c r="H620" t="b">
        <v>0</v>
      </c>
      <c r="I620">
        <f t="shared" si="18"/>
        <v>0</v>
      </c>
      <c r="J620" t="str">
        <f t="shared" si="19"/>
        <v>451-600 (Fair)</v>
      </c>
      <c r="K620" s="1"/>
    </row>
    <row r="621" spans="1:11" x14ac:dyDescent="0.35">
      <c r="A621" t="s">
        <v>3158</v>
      </c>
      <c r="B621" t="s">
        <v>3159</v>
      </c>
      <c r="C621">
        <v>113611</v>
      </c>
      <c r="D621">
        <v>583</v>
      </c>
      <c r="E621">
        <v>34496</v>
      </c>
      <c r="F621">
        <v>36</v>
      </c>
      <c r="G621">
        <v>65</v>
      </c>
      <c r="H621" t="b">
        <v>1</v>
      </c>
      <c r="I621">
        <f t="shared" si="18"/>
        <v>1</v>
      </c>
      <c r="J621" t="str">
        <f t="shared" si="19"/>
        <v>451-600 (Fair)</v>
      </c>
      <c r="K621" s="1"/>
    </row>
    <row r="622" spans="1:11" x14ac:dyDescent="0.35">
      <c r="A622" t="s">
        <v>2785</v>
      </c>
      <c r="B622" t="s">
        <v>2786</v>
      </c>
      <c r="C622">
        <v>31792</v>
      </c>
      <c r="D622">
        <v>707</v>
      </c>
      <c r="E622">
        <v>34482</v>
      </c>
      <c r="F622">
        <v>12</v>
      </c>
      <c r="G622">
        <v>50</v>
      </c>
      <c r="H622" t="b">
        <v>0</v>
      </c>
      <c r="I622">
        <f t="shared" si="18"/>
        <v>0</v>
      </c>
      <c r="J622" t="str">
        <f t="shared" si="19"/>
        <v>601-750 (Good)</v>
      </c>
      <c r="K622" s="1"/>
    </row>
    <row r="623" spans="1:11" x14ac:dyDescent="0.35">
      <c r="A623" t="s">
        <v>588</v>
      </c>
      <c r="B623" t="s">
        <v>589</v>
      </c>
      <c r="C623">
        <v>74313</v>
      </c>
      <c r="D623">
        <v>444</v>
      </c>
      <c r="E623">
        <v>34477</v>
      </c>
      <c r="F623">
        <v>24</v>
      </c>
      <c r="G623">
        <v>35</v>
      </c>
      <c r="H623" t="b">
        <v>0</v>
      </c>
      <c r="I623">
        <f t="shared" si="18"/>
        <v>0</v>
      </c>
      <c r="J623" t="str">
        <f t="shared" si="19"/>
        <v>300-450 (Poor)</v>
      </c>
      <c r="K623" s="1"/>
    </row>
    <row r="624" spans="1:11" x14ac:dyDescent="0.35">
      <c r="A624" t="s">
        <v>3047</v>
      </c>
      <c r="B624" t="s">
        <v>3048</v>
      </c>
      <c r="C624">
        <v>93956</v>
      </c>
      <c r="D624">
        <v>676</v>
      </c>
      <c r="E624">
        <v>34367</v>
      </c>
      <c r="F624">
        <v>10</v>
      </c>
      <c r="G624">
        <v>70</v>
      </c>
      <c r="H624" t="b">
        <v>1</v>
      </c>
      <c r="I624">
        <f t="shared" si="18"/>
        <v>1</v>
      </c>
      <c r="J624" t="str">
        <f t="shared" si="19"/>
        <v>601-750 (Good)</v>
      </c>
      <c r="K624" s="1"/>
    </row>
    <row r="625" spans="1:11" x14ac:dyDescent="0.35">
      <c r="A625" t="s">
        <v>2970</v>
      </c>
      <c r="B625" t="s">
        <v>2971</v>
      </c>
      <c r="C625">
        <v>107356</v>
      </c>
      <c r="D625">
        <v>626</v>
      </c>
      <c r="E625">
        <v>34344</v>
      </c>
      <c r="F625">
        <v>7</v>
      </c>
      <c r="G625">
        <v>60</v>
      </c>
      <c r="H625" t="b">
        <v>1</v>
      </c>
      <c r="I625">
        <f t="shared" si="18"/>
        <v>1</v>
      </c>
      <c r="J625" t="str">
        <f t="shared" si="19"/>
        <v>601-750 (Good)</v>
      </c>
      <c r="K625" s="1"/>
    </row>
    <row r="626" spans="1:11" x14ac:dyDescent="0.35">
      <c r="A626" t="s">
        <v>2435</v>
      </c>
      <c r="B626" t="s">
        <v>2436</v>
      </c>
      <c r="C626">
        <v>111399</v>
      </c>
      <c r="D626">
        <v>480</v>
      </c>
      <c r="E626">
        <v>34336</v>
      </c>
      <c r="F626">
        <v>37</v>
      </c>
      <c r="G626">
        <v>50</v>
      </c>
      <c r="H626" t="b">
        <v>0</v>
      </c>
      <c r="I626">
        <f t="shared" si="18"/>
        <v>0</v>
      </c>
      <c r="J626" t="str">
        <f t="shared" si="19"/>
        <v>451-600 (Fair)</v>
      </c>
      <c r="K626" s="1"/>
    </row>
    <row r="627" spans="1:11" x14ac:dyDescent="0.35">
      <c r="A627" t="s">
        <v>1778</v>
      </c>
      <c r="B627" t="s">
        <v>1779</v>
      </c>
      <c r="C627">
        <v>134840</v>
      </c>
      <c r="D627">
        <v>471</v>
      </c>
      <c r="E627">
        <v>34332</v>
      </c>
      <c r="F627">
        <v>24</v>
      </c>
      <c r="G627">
        <v>50</v>
      </c>
      <c r="H627" t="b">
        <v>0</v>
      </c>
      <c r="I627">
        <f t="shared" si="18"/>
        <v>0</v>
      </c>
      <c r="J627" t="str">
        <f t="shared" si="19"/>
        <v>451-600 (Fair)</v>
      </c>
      <c r="K627" s="1"/>
    </row>
    <row r="628" spans="1:11" x14ac:dyDescent="0.35">
      <c r="A628" t="s">
        <v>1238</v>
      </c>
      <c r="B628" t="s">
        <v>1239</v>
      </c>
      <c r="C628">
        <v>137549</v>
      </c>
      <c r="D628">
        <v>430</v>
      </c>
      <c r="E628">
        <v>34288</v>
      </c>
      <c r="F628">
        <v>6</v>
      </c>
      <c r="G628">
        <v>50</v>
      </c>
      <c r="H628" t="b">
        <v>0</v>
      </c>
      <c r="I628">
        <f t="shared" si="18"/>
        <v>0</v>
      </c>
      <c r="J628" t="str">
        <f t="shared" si="19"/>
        <v>300-450 (Poor)</v>
      </c>
      <c r="K628" s="1"/>
    </row>
    <row r="629" spans="1:11" x14ac:dyDescent="0.35">
      <c r="A629" t="s">
        <v>3847</v>
      </c>
      <c r="B629" t="s">
        <v>3848</v>
      </c>
      <c r="C629">
        <v>143441</v>
      </c>
      <c r="D629">
        <v>330</v>
      </c>
      <c r="E629">
        <v>34287</v>
      </c>
      <c r="F629">
        <v>40</v>
      </c>
      <c r="G629">
        <v>55</v>
      </c>
      <c r="H629" t="b">
        <v>0</v>
      </c>
      <c r="I629">
        <f t="shared" si="18"/>
        <v>0</v>
      </c>
      <c r="J629" t="str">
        <f t="shared" si="19"/>
        <v>300-450 (Poor)</v>
      </c>
      <c r="K629" s="1"/>
    </row>
    <row r="630" spans="1:11" x14ac:dyDescent="0.35">
      <c r="A630" t="s">
        <v>1623</v>
      </c>
      <c r="B630" t="s">
        <v>1624</v>
      </c>
      <c r="C630">
        <v>96162</v>
      </c>
      <c r="D630">
        <v>537</v>
      </c>
      <c r="E630">
        <v>34268</v>
      </c>
      <c r="F630">
        <v>14</v>
      </c>
      <c r="G630">
        <v>45</v>
      </c>
      <c r="H630" t="b">
        <v>0</v>
      </c>
      <c r="I630">
        <f t="shared" si="18"/>
        <v>0</v>
      </c>
      <c r="J630" t="str">
        <f t="shared" si="19"/>
        <v>451-600 (Fair)</v>
      </c>
      <c r="K630" s="1"/>
    </row>
    <row r="631" spans="1:11" x14ac:dyDescent="0.35">
      <c r="A631" t="s">
        <v>2176</v>
      </c>
      <c r="B631" t="s">
        <v>2177</v>
      </c>
      <c r="C631">
        <v>83271</v>
      </c>
      <c r="D631">
        <v>529</v>
      </c>
      <c r="E631">
        <v>34263</v>
      </c>
      <c r="F631">
        <v>18</v>
      </c>
      <c r="G631">
        <v>40</v>
      </c>
      <c r="H631" t="b">
        <v>0</v>
      </c>
      <c r="I631">
        <f t="shared" si="18"/>
        <v>0</v>
      </c>
      <c r="J631" t="str">
        <f t="shared" si="19"/>
        <v>451-600 (Fair)</v>
      </c>
      <c r="K631" s="1"/>
    </row>
    <row r="632" spans="1:11" x14ac:dyDescent="0.35">
      <c r="A632" t="s">
        <v>3480</v>
      </c>
      <c r="B632" t="s">
        <v>3481</v>
      </c>
      <c r="C632">
        <v>137984</v>
      </c>
      <c r="D632">
        <v>348</v>
      </c>
      <c r="E632">
        <v>34252</v>
      </c>
      <c r="F632">
        <v>23</v>
      </c>
      <c r="G632">
        <v>55</v>
      </c>
      <c r="H632" t="b">
        <v>0</v>
      </c>
      <c r="I632">
        <f t="shared" si="18"/>
        <v>0</v>
      </c>
      <c r="J632" t="str">
        <f t="shared" si="19"/>
        <v>300-450 (Poor)</v>
      </c>
      <c r="K632" s="1"/>
    </row>
    <row r="633" spans="1:11" x14ac:dyDescent="0.35">
      <c r="A633" t="s">
        <v>1636</v>
      </c>
      <c r="B633" t="s">
        <v>1637</v>
      </c>
      <c r="C633">
        <v>50861</v>
      </c>
      <c r="D633">
        <v>342</v>
      </c>
      <c r="E633">
        <v>34246</v>
      </c>
      <c r="F633">
        <v>6</v>
      </c>
      <c r="G633">
        <v>30</v>
      </c>
      <c r="H633" t="b">
        <v>0</v>
      </c>
      <c r="I633">
        <f t="shared" si="18"/>
        <v>0</v>
      </c>
      <c r="J633" t="str">
        <f t="shared" si="19"/>
        <v>300-450 (Poor)</v>
      </c>
      <c r="K633" s="1"/>
    </row>
    <row r="634" spans="1:11" x14ac:dyDescent="0.35">
      <c r="A634" t="s">
        <v>845</v>
      </c>
      <c r="B634" t="s">
        <v>846</v>
      </c>
      <c r="C634">
        <v>141767</v>
      </c>
      <c r="D634">
        <v>351</v>
      </c>
      <c r="E634">
        <v>34222</v>
      </c>
      <c r="F634">
        <v>14</v>
      </c>
      <c r="G634">
        <v>55</v>
      </c>
      <c r="H634" t="b">
        <v>0</v>
      </c>
      <c r="I634">
        <f t="shared" si="18"/>
        <v>0</v>
      </c>
      <c r="J634" t="str">
        <f t="shared" si="19"/>
        <v>300-450 (Poor)</v>
      </c>
      <c r="K634" s="1"/>
    </row>
    <row r="635" spans="1:11" x14ac:dyDescent="0.35">
      <c r="A635" t="s">
        <v>2404</v>
      </c>
      <c r="B635" t="s">
        <v>2405</v>
      </c>
      <c r="C635">
        <v>108135</v>
      </c>
      <c r="D635">
        <v>379</v>
      </c>
      <c r="E635">
        <v>34222</v>
      </c>
      <c r="F635">
        <v>28</v>
      </c>
      <c r="G635">
        <v>50</v>
      </c>
      <c r="H635" t="b">
        <v>0</v>
      </c>
      <c r="I635">
        <f t="shared" si="18"/>
        <v>0</v>
      </c>
      <c r="J635" t="str">
        <f t="shared" si="19"/>
        <v>300-450 (Poor)</v>
      </c>
      <c r="K635" s="1"/>
    </row>
    <row r="636" spans="1:11" x14ac:dyDescent="0.35">
      <c r="A636" t="s">
        <v>3736</v>
      </c>
      <c r="B636" t="s">
        <v>3737</v>
      </c>
      <c r="C636">
        <v>89245</v>
      </c>
      <c r="D636">
        <v>750</v>
      </c>
      <c r="E636">
        <v>34216</v>
      </c>
      <c r="F636">
        <v>23</v>
      </c>
      <c r="G636">
        <v>80</v>
      </c>
      <c r="H636" t="b">
        <v>1</v>
      </c>
      <c r="I636">
        <f t="shared" si="18"/>
        <v>1</v>
      </c>
      <c r="J636" t="str">
        <f t="shared" si="19"/>
        <v>601-750 (Good)</v>
      </c>
      <c r="K636" s="1"/>
    </row>
    <row r="637" spans="1:11" x14ac:dyDescent="0.35">
      <c r="A637" t="s">
        <v>1198</v>
      </c>
      <c r="B637" t="s">
        <v>1199</v>
      </c>
      <c r="C637">
        <v>143254</v>
      </c>
      <c r="D637">
        <v>607</v>
      </c>
      <c r="E637">
        <v>34206</v>
      </c>
      <c r="F637">
        <v>35</v>
      </c>
      <c r="G637">
        <v>70</v>
      </c>
      <c r="H637" t="b">
        <v>1</v>
      </c>
      <c r="I637">
        <f t="shared" si="18"/>
        <v>1</v>
      </c>
      <c r="J637" t="str">
        <f t="shared" si="19"/>
        <v>601-750 (Good)</v>
      </c>
      <c r="K637" s="1"/>
    </row>
    <row r="638" spans="1:11" x14ac:dyDescent="0.35">
      <c r="A638" t="s">
        <v>3791</v>
      </c>
      <c r="B638" t="s">
        <v>3792</v>
      </c>
      <c r="C638">
        <v>109730</v>
      </c>
      <c r="D638">
        <v>496</v>
      </c>
      <c r="E638">
        <v>34188</v>
      </c>
      <c r="F638">
        <v>38</v>
      </c>
      <c r="G638">
        <v>50</v>
      </c>
      <c r="H638" t="b">
        <v>0</v>
      </c>
      <c r="I638">
        <f t="shared" si="18"/>
        <v>0</v>
      </c>
      <c r="J638" t="str">
        <f t="shared" si="19"/>
        <v>451-600 (Fair)</v>
      </c>
      <c r="K638" s="1"/>
    </row>
    <row r="639" spans="1:11" x14ac:dyDescent="0.35">
      <c r="A639" t="s">
        <v>3107</v>
      </c>
      <c r="B639" t="s">
        <v>2304</v>
      </c>
      <c r="C639">
        <v>76984</v>
      </c>
      <c r="D639">
        <v>328</v>
      </c>
      <c r="E639">
        <v>34180</v>
      </c>
      <c r="F639">
        <v>28</v>
      </c>
      <c r="G639">
        <v>40</v>
      </c>
      <c r="H639" t="b">
        <v>0</v>
      </c>
      <c r="I639">
        <f t="shared" si="18"/>
        <v>0</v>
      </c>
      <c r="J639" t="str">
        <f t="shared" si="19"/>
        <v>300-450 (Poor)</v>
      </c>
      <c r="K639" s="1"/>
    </row>
    <row r="640" spans="1:11" x14ac:dyDescent="0.35">
      <c r="A640" t="s">
        <v>1829</v>
      </c>
      <c r="B640" t="s">
        <v>1830</v>
      </c>
      <c r="C640">
        <v>107580</v>
      </c>
      <c r="D640">
        <v>512</v>
      </c>
      <c r="E640">
        <v>34165</v>
      </c>
      <c r="F640">
        <v>2</v>
      </c>
      <c r="G640">
        <v>40</v>
      </c>
      <c r="H640" t="b">
        <v>0</v>
      </c>
      <c r="I640">
        <f t="shared" si="18"/>
        <v>0</v>
      </c>
      <c r="J640" t="str">
        <f t="shared" si="19"/>
        <v>451-600 (Fair)</v>
      </c>
      <c r="K640" s="1"/>
    </row>
    <row r="641" spans="1:11" x14ac:dyDescent="0.35">
      <c r="A641" t="s">
        <v>149</v>
      </c>
      <c r="B641" t="s">
        <v>150</v>
      </c>
      <c r="C641">
        <v>40328</v>
      </c>
      <c r="D641">
        <v>370</v>
      </c>
      <c r="E641">
        <v>34158</v>
      </c>
      <c r="F641">
        <v>21</v>
      </c>
      <c r="G641">
        <v>25</v>
      </c>
      <c r="H641" t="b">
        <v>0</v>
      </c>
      <c r="I641">
        <f t="shared" si="18"/>
        <v>0</v>
      </c>
      <c r="J641" t="str">
        <f t="shared" si="19"/>
        <v>300-450 (Poor)</v>
      </c>
      <c r="K641" s="1"/>
    </row>
    <row r="642" spans="1:11" x14ac:dyDescent="0.35">
      <c r="A642" t="s">
        <v>1638</v>
      </c>
      <c r="B642" t="s">
        <v>1639</v>
      </c>
      <c r="C642">
        <v>127472</v>
      </c>
      <c r="D642">
        <v>752</v>
      </c>
      <c r="E642">
        <v>34154</v>
      </c>
      <c r="F642">
        <v>31</v>
      </c>
      <c r="G642">
        <v>85</v>
      </c>
      <c r="H642" t="b">
        <v>1</v>
      </c>
      <c r="I642">
        <f t="shared" si="18"/>
        <v>1</v>
      </c>
      <c r="J642" t="str">
        <f t="shared" si="19"/>
        <v>751-850 (Excellent)</v>
      </c>
      <c r="K642" s="1"/>
    </row>
    <row r="643" spans="1:11" x14ac:dyDescent="0.35">
      <c r="A643" t="s">
        <v>2315</v>
      </c>
      <c r="B643" t="s">
        <v>2316</v>
      </c>
      <c r="C643">
        <v>65954</v>
      </c>
      <c r="D643">
        <v>325</v>
      </c>
      <c r="E643">
        <v>34148</v>
      </c>
      <c r="F643">
        <v>28</v>
      </c>
      <c r="G643">
        <v>35</v>
      </c>
      <c r="H643" t="b">
        <v>0</v>
      </c>
      <c r="I643">
        <f t="shared" si="18"/>
        <v>0</v>
      </c>
      <c r="J643" t="str">
        <f t="shared" si="19"/>
        <v>300-450 (Poor)</v>
      </c>
      <c r="K643" s="1"/>
    </row>
    <row r="644" spans="1:11" x14ac:dyDescent="0.35">
      <c r="A644" t="s">
        <v>1659</v>
      </c>
      <c r="B644" t="s">
        <v>1660</v>
      </c>
      <c r="C644">
        <v>131931</v>
      </c>
      <c r="D644">
        <v>732</v>
      </c>
      <c r="E644">
        <v>34113</v>
      </c>
      <c r="F644">
        <v>7</v>
      </c>
      <c r="G644">
        <v>70</v>
      </c>
      <c r="H644" t="b">
        <v>1</v>
      </c>
      <c r="I644">
        <f t="shared" ref="I644:I707" si="20">--H644</f>
        <v>1</v>
      </c>
      <c r="J644" t="str">
        <f t="shared" ref="J644:J707" si="21">IF(D644&gt;750, "751-850 (Excellent)", IF(D644&gt;600, "601-750 (Good)", IF(D644&gt;450, "451-600 (Fair)", "300-450 (Poor)")))</f>
        <v>601-750 (Good)</v>
      </c>
      <c r="K644" s="1"/>
    </row>
    <row r="645" spans="1:11" x14ac:dyDescent="0.35">
      <c r="A645" t="s">
        <v>3438</v>
      </c>
      <c r="B645" t="s">
        <v>3439</v>
      </c>
      <c r="C645">
        <v>128174</v>
      </c>
      <c r="D645">
        <v>843</v>
      </c>
      <c r="E645">
        <v>34109</v>
      </c>
      <c r="F645">
        <v>1</v>
      </c>
      <c r="G645">
        <v>75</v>
      </c>
      <c r="H645" t="b">
        <v>1</v>
      </c>
      <c r="I645">
        <f t="shared" si="20"/>
        <v>1</v>
      </c>
      <c r="J645" t="str">
        <f t="shared" si="21"/>
        <v>751-850 (Excellent)</v>
      </c>
      <c r="K645" s="1"/>
    </row>
    <row r="646" spans="1:11" x14ac:dyDescent="0.35">
      <c r="A646" t="s">
        <v>2184</v>
      </c>
      <c r="B646" t="s">
        <v>2185</v>
      </c>
      <c r="C646">
        <v>61499</v>
      </c>
      <c r="D646">
        <v>429</v>
      </c>
      <c r="E646">
        <v>34046</v>
      </c>
      <c r="F646">
        <v>7</v>
      </c>
      <c r="G646">
        <v>30</v>
      </c>
      <c r="H646" t="b">
        <v>0</v>
      </c>
      <c r="I646">
        <f t="shared" si="20"/>
        <v>0</v>
      </c>
      <c r="J646" t="str">
        <f t="shared" si="21"/>
        <v>300-450 (Poor)</v>
      </c>
      <c r="K646" s="1"/>
    </row>
    <row r="647" spans="1:11" x14ac:dyDescent="0.35">
      <c r="A647" t="s">
        <v>1631</v>
      </c>
      <c r="B647" t="s">
        <v>282</v>
      </c>
      <c r="C647">
        <v>101810</v>
      </c>
      <c r="D647">
        <v>478</v>
      </c>
      <c r="E647">
        <v>33995</v>
      </c>
      <c r="F647">
        <v>2</v>
      </c>
      <c r="G647">
        <v>40</v>
      </c>
      <c r="H647" t="b">
        <v>0</v>
      </c>
      <c r="I647">
        <f t="shared" si="20"/>
        <v>0</v>
      </c>
      <c r="J647" t="str">
        <f t="shared" si="21"/>
        <v>451-600 (Fair)</v>
      </c>
      <c r="K647" s="1"/>
    </row>
    <row r="648" spans="1:11" x14ac:dyDescent="0.35">
      <c r="A648" t="s">
        <v>807</v>
      </c>
      <c r="B648" t="s">
        <v>808</v>
      </c>
      <c r="C648">
        <v>116752</v>
      </c>
      <c r="D648">
        <v>692</v>
      </c>
      <c r="E648">
        <v>33986</v>
      </c>
      <c r="F648">
        <v>37</v>
      </c>
      <c r="G648">
        <v>75</v>
      </c>
      <c r="H648" t="b">
        <v>1</v>
      </c>
      <c r="I648">
        <f t="shared" si="20"/>
        <v>1</v>
      </c>
      <c r="J648" t="str">
        <f t="shared" si="21"/>
        <v>601-750 (Good)</v>
      </c>
      <c r="K648" s="1"/>
    </row>
    <row r="649" spans="1:11" x14ac:dyDescent="0.35">
      <c r="A649" t="s">
        <v>2263</v>
      </c>
      <c r="B649" t="s">
        <v>2264</v>
      </c>
      <c r="C649">
        <v>129901</v>
      </c>
      <c r="D649">
        <v>489</v>
      </c>
      <c r="E649">
        <v>33980</v>
      </c>
      <c r="F649">
        <v>39</v>
      </c>
      <c r="G649">
        <v>50</v>
      </c>
      <c r="H649" t="b">
        <v>0</v>
      </c>
      <c r="I649">
        <f t="shared" si="20"/>
        <v>0</v>
      </c>
      <c r="J649" t="str">
        <f t="shared" si="21"/>
        <v>451-600 (Fair)</v>
      </c>
      <c r="K649" s="1"/>
    </row>
    <row r="650" spans="1:11" x14ac:dyDescent="0.35">
      <c r="A650" t="s">
        <v>3206</v>
      </c>
      <c r="B650" t="s">
        <v>3207</v>
      </c>
      <c r="C650">
        <v>69599</v>
      </c>
      <c r="D650">
        <v>470</v>
      </c>
      <c r="E650">
        <v>33974</v>
      </c>
      <c r="F650">
        <v>31</v>
      </c>
      <c r="G650">
        <v>35</v>
      </c>
      <c r="H650" t="b">
        <v>0</v>
      </c>
      <c r="I650">
        <f t="shared" si="20"/>
        <v>0</v>
      </c>
      <c r="J650" t="str">
        <f t="shared" si="21"/>
        <v>451-600 (Fair)</v>
      </c>
      <c r="K650" s="1"/>
    </row>
    <row r="651" spans="1:11" x14ac:dyDescent="0.35">
      <c r="A651" t="s">
        <v>2535</v>
      </c>
      <c r="B651" t="s">
        <v>2536</v>
      </c>
      <c r="C651">
        <v>138348</v>
      </c>
      <c r="D651">
        <v>559</v>
      </c>
      <c r="E651">
        <v>33951</v>
      </c>
      <c r="F651">
        <v>0</v>
      </c>
      <c r="G651">
        <v>40</v>
      </c>
      <c r="H651" t="b">
        <v>0</v>
      </c>
      <c r="I651">
        <f t="shared" si="20"/>
        <v>0</v>
      </c>
      <c r="J651" t="str">
        <f t="shared" si="21"/>
        <v>451-600 (Fair)</v>
      </c>
      <c r="K651" s="1"/>
    </row>
    <row r="652" spans="1:11" x14ac:dyDescent="0.35">
      <c r="A652" t="s">
        <v>1007</v>
      </c>
      <c r="B652" t="s">
        <v>1008</v>
      </c>
      <c r="C652">
        <v>47601</v>
      </c>
      <c r="D652">
        <v>333</v>
      </c>
      <c r="E652">
        <v>33930</v>
      </c>
      <c r="F652">
        <v>22</v>
      </c>
      <c r="G652">
        <v>25</v>
      </c>
      <c r="H652" t="b">
        <v>0</v>
      </c>
      <c r="I652">
        <f t="shared" si="20"/>
        <v>0</v>
      </c>
      <c r="J652" t="str">
        <f t="shared" si="21"/>
        <v>300-450 (Poor)</v>
      </c>
      <c r="K652" s="1"/>
    </row>
    <row r="653" spans="1:11" x14ac:dyDescent="0.35">
      <c r="A653" t="s">
        <v>2253</v>
      </c>
      <c r="B653" t="s">
        <v>2254</v>
      </c>
      <c r="C653">
        <v>55242</v>
      </c>
      <c r="D653">
        <v>706</v>
      </c>
      <c r="E653">
        <v>33911</v>
      </c>
      <c r="F653">
        <v>27</v>
      </c>
      <c r="G653">
        <v>60</v>
      </c>
      <c r="H653" t="b">
        <v>1</v>
      </c>
      <c r="I653">
        <f t="shared" si="20"/>
        <v>1</v>
      </c>
      <c r="J653" t="str">
        <f t="shared" si="21"/>
        <v>601-750 (Good)</v>
      </c>
      <c r="K653" s="1"/>
    </row>
    <row r="654" spans="1:11" x14ac:dyDescent="0.35">
      <c r="A654" t="s">
        <v>944</v>
      </c>
      <c r="B654" t="s">
        <v>945</v>
      </c>
      <c r="C654">
        <v>43104</v>
      </c>
      <c r="D654">
        <v>306</v>
      </c>
      <c r="E654">
        <v>33888</v>
      </c>
      <c r="F654">
        <v>8</v>
      </c>
      <c r="G654">
        <v>20</v>
      </c>
      <c r="H654" t="b">
        <v>0</v>
      </c>
      <c r="I654">
        <f t="shared" si="20"/>
        <v>0</v>
      </c>
      <c r="J654" t="str">
        <f t="shared" si="21"/>
        <v>300-450 (Poor)</v>
      </c>
      <c r="K654" s="1"/>
    </row>
    <row r="655" spans="1:11" x14ac:dyDescent="0.35">
      <c r="A655" t="s">
        <v>1382</v>
      </c>
      <c r="B655" t="s">
        <v>1383</v>
      </c>
      <c r="C655">
        <v>96469</v>
      </c>
      <c r="D655">
        <v>797</v>
      </c>
      <c r="E655">
        <v>33863</v>
      </c>
      <c r="F655">
        <v>33</v>
      </c>
      <c r="G655">
        <v>80</v>
      </c>
      <c r="H655" t="b">
        <v>1</v>
      </c>
      <c r="I655">
        <f t="shared" si="20"/>
        <v>1</v>
      </c>
      <c r="J655" t="str">
        <f t="shared" si="21"/>
        <v>751-850 (Excellent)</v>
      </c>
      <c r="K655" s="1"/>
    </row>
    <row r="656" spans="1:11" x14ac:dyDescent="0.35">
      <c r="A656" t="s">
        <v>1138</v>
      </c>
      <c r="B656" t="s">
        <v>1139</v>
      </c>
      <c r="C656">
        <v>147823</v>
      </c>
      <c r="D656">
        <v>541</v>
      </c>
      <c r="E656">
        <v>33850</v>
      </c>
      <c r="F656">
        <v>17</v>
      </c>
      <c r="G656">
        <v>55</v>
      </c>
      <c r="H656" t="b">
        <v>0</v>
      </c>
      <c r="I656">
        <f t="shared" si="20"/>
        <v>0</v>
      </c>
      <c r="J656" t="str">
        <f t="shared" si="21"/>
        <v>451-600 (Fair)</v>
      </c>
      <c r="K656" s="1"/>
    </row>
    <row r="657" spans="1:11" x14ac:dyDescent="0.35">
      <c r="A657" t="s">
        <v>2344</v>
      </c>
      <c r="B657" t="s">
        <v>2345</v>
      </c>
      <c r="C657">
        <v>91524</v>
      </c>
      <c r="D657">
        <v>785</v>
      </c>
      <c r="E657">
        <v>33823</v>
      </c>
      <c r="F657">
        <v>22</v>
      </c>
      <c r="G657">
        <v>80</v>
      </c>
      <c r="H657" t="b">
        <v>1</v>
      </c>
      <c r="I657">
        <f t="shared" si="20"/>
        <v>1</v>
      </c>
      <c r="J657" t="str">
        <f t="shared" si="21"/>
        <v>751-850 (Excellent)</v>
      </c>
      <c r="K657" s="1"/>
    </row>
    <row r="658" spans="1:11" x14ac:dyDescent="0.35">
      <c r="A658" t="s">
        <v>534</v>
      </c>
      <c r="B658" t="s">
        <v>535</v>
      </c>
      <c r="C658">
        <v>102063</v>
      </c>
      <c r="D658">
        <v>380</v>
      </c>
      <c r="E658">
        <v>33819</v>
      </c>
      <c r="F658">
        <v>22</v>
      </c>
      <c r="G658">
        <v>50</v>
      </c>
      <c r="H658" t="b">
        <v>0</v>
      </c>
      <c r="I658">
        <f t="shared" si="20"/>
        <v>0</v>
      </c>
      <c r="J658" t="str">
        <f t="shared" si="21"/>
        <v>300-450 (Poor)</v>
      </c>
      <c r="K658" s="1"/>
    </row>
    <row r="659" spans="1:11" x14ac:dyDescent="0.35">
      <c r="A659" t="s">
        <v>2588</v>
      </c>
      <c r="B659" t="s">
        <v>2589</v>
      </c>
      <c r="C659">
        <v>86626</v>
      </c>
      <c r="D659">
        <v>441</v>
      </c>
      <c r="E659">
        <v>33764</v>
      </c>
      <c r="F659">
        <v>12</v>
      </c>
      <c r="G659">
        <v>45</v>
      </c>
      <c r="H659" t="b">
        <v>0</v>
      </c>
      <c r="I659">
        <f t="shared" si="20"/>
        <v>0</v>
      </c>
      <c r="J659" t="str">
        <f t="shared" si="21"/>
        <v>300-450 (Poor)</v>
      </c>
      <c r="K659" s="1"/>
    </row>
    <row r="660" spans="1:11" x14ac:dyDescent="0.35">
      <c r="A660" t="s">
        <v>526</v>
      </c>
      <c r="B660" t="s">
        <v>527</v>
      </c>
      <c r="C660">
        <v>46483</v>
      </c>
      <c r="D660">
        <v>384</v>
      </c>
      <c r="E660">
        <v>33758</v>
      </c>
      <c r="F660">
        <v>27</v>
      </c>
      <c r="G660">
        <v>25</v>
      </c>
      <c r="H660" t="b">
        <v>0</v>
      </c>
      <c r="I660">
        <f t="shared" si="20"/>
        <v>0</v>
      </c>
      <c r="J660" t="str">
        <f t="shared" si="21"/>
        <v>300-450 (Poor)</v>
      </c>
      <c r="K660" s="1"/>
    </row>
    <row r="661" spans="1:11" x14ac:dyDescent="0.35">
      <c r="A661" t="s">
        <v>3612</v>
      </c>
      <c r="B661" t="s">
        <v>3613</v>
      </c>
      <c r="C661">
        <v>108269</v>
      </c>
      <c r="D661">
        <v>447</v>
      </c>
      <c r="E661">
        <v>33740</v>
      </c>
      <c r="F661">
        <v>14</v>
      </c>
      <c r="G661">
        <v>50</v>
      </c>
      <c r="H661" t="b">
        <v>0</v>
      </c>
      <c r="I661">
        <f t="shared" si="20"/>
        <v>0</v>
      </c>
      <c r="J661" t="str">
        <f t="shared" si="21"/>
        <v>300-450 (Poor)</v>
      </c>
      <c r="K661" s="1"/>
    </row>
    <row r="662" spans="1:11" x14ac:dyDescent="0.35">
      <c r="A662" t="s">
        <v>2334</v>
      </c>
      <c r="B662" t="s">
        <v>2335</v>
      </c>
      <c r="C662">
        <v>94340</v>
      </c>
      <c r="D662">
        <v>408</v>
      </c>
      <c r="E662">
        <v>33730</v>
      </c>
      <c r="F662">
        <v>30</v>
      </c>
      <c r="G662">
        <v>45</v>
      </c>
      <c r="H662" t="b">
        <v>0</v>
      </c>
      <c r="I662">
        <f t="shared" si="20"/>
        <v>0</v>
      </c>
      <c r="J662" t="str">
        <f t="shared" si="21"/>
        <v>300-450 (Poor)</v>
      </c>
      <c r="K662" s="1"/>
    </row>
    <row r="663" spans="1:11" x14ac:dyDescent="0.35">
      <c r="A663" t="s">
        <v>1056</v>
      </c>
      <c r="B663" t="s">
        <v>617</v>
      </c>
      <c r="C663">
        <v>36658</v>
      </c>
      <c r="D663">
        <v>619</v>
      </c>
      <c r="E663">
        <v>33662</v>
      </c>
      <c r="F663">
        <v>23</v>
      </c>
      <c r="G663">
        <v>40</v>
      </c>
      <c r="H663" t="b">
        <v>0</v>
      </c>
      <c r="I663">
        <f t="shared" si="20"/>
        <v>0</v>
      </c>
      <c r="J663" t="str">
        <f t="shared" si="21"/>
        <v>601-750 (Good)</v>
      </c>
      <c r="K663" s="1"/>
    </row>
    <row r="664" spans="1:11" x14ac:dyDescent="0.35">
      <c r="A664" t="s">
        <v>2277</v>
      </c>
      <c r="B664" t="s">
        <v>2278</v>
      </c>
      <c r="C664">
        <v>66241</v>
      </c>
      <c r="D664">
        <v>665</v>
      </c>
      <c r="E664">
        <v>33625</v>
      </c>
      <c r="F664">
        <v>1</v>
      </c>
      <c r="G664">
        <v>35</v>
      </c>
      <c r="H664" t="b">
        <v>0</v>
      </c>
      <c r="I664">
        <f t="shared" si="20"/>
        <v>0</v>
      </c>
      <c r="J664" t="str">
        <f t="shared" si="21"/>
        <v>601-750 (Good)</v>
      </c>
      <c r="K664" s="1"/>
    </row>
    <row r="665" spans="1:11" x14ac:dyDescent="0.35">
      <c r="A665" t="s">
        <v>291</v>
      </c>
      <c r="B665" t="s">
        <v>292</v>
      </c>
      <c r="C665">
        <v>124098</v>
      </c>
      <c r="D665">
        <v>307</v>
      </c>
      <c r="E665">
        <v>33596</v>
      </c>
      <c r="F665">
        <v>27</v>
      </c>
      <c r="G665">
        <v>50</v>
      </c>
      <c r="H665" t="b">
        <v>0</v>
      </c>
      <c r="I665">
        <f t="shared" si="20"/>
        <v>0</v>
      </c>
      <c r="J665" t="str">
        <f t="shared" si="21"/>
        <v>300-450 (Poor)</v>
      </c>
      <c r="K665" s="1"/>
    </row>
    <row r="666" spans="1:11" x14ac:dyDescent="0.35">
      <c r="A666" t="s">
        <v>504</v>
      </c>
      <c r="B666" t="s">
        <v>505</v>
      </c>
      <c r="C666">
        <v>145082</v>
      </c>
      <c r="D666">
        <v>825</v>
      </c>
      <c r="E666">
        <v>33589</v>
      </c>
      <c r="F666">
        <v>29</v>
      </c>
      <c r="G666">
        <v>95</v>
      </c>
      <c r="H666" t="b">
        <v>1</v>
      </c>
      <c r="I666">
        <f t="shared" si="20"/>
        <v>1</v>
      </c>
      <c r="J666" t="str">
        <f t="shared" si="21"/>
        <v>751-850 (Excellent)</v>
      </c>
      <c r="K666" s="1"/>
    </row>
    <row r="667" spans="1:11" x14ac:dyDescent="0.35">
      <c r="A667" t="s">
        <v>3138</v>
      </c>
      <c r="B667" t="s">
        <v>3139</v>
      </c>
      <c r="C667">
        <v>80140</v>
      </c>
      <c r="D667">
        <v>594</v>
      </c>
      <c r="E667">
        <v>33580</v>
      </c>
      <c r="F667">
        <v>4</v>
      </c>
      <c r="G667">
        <v>45</v>
      </c>
      <c r="H667" t="b">
        <v>0</v>
      </c>
      <c r="I667">
        <f t="shared" si="20"/>
        <v>0</v>
      </c>
      <c r="J667" t="str">
        <f t="shared" si="21"/>
        <v>451-600 (Fair)</v>
      </c>
      <c r="K667" s="1"/>
    </row>
    <row r="668" spans="1:11" x14ac:dyDescent="0.35">
      <c r="A668" t="s">
        <v>1497</v>
      </c>
      <c r="B668" t="s">
        <v>1498</v>
      </c>
      <c r="C668">
        <v>118184</v>
      </c>
      <c r="D668">
        <v>506</v>
      </c>
      <c r="E668">
        <v>33568</v>
      </c>
      <c r="F668">
        <v>40</v>
      </c>
      <c r="G668">
        <v>50</v>
      </c>
      <c r="H668" t="b">
        <v>0</v>
      </c>
      <c r="I668">
        <f t="shared" si="20"/>
        <v>0</v>
      </c>
      <c r="J668" t="str">
        <f t="shared" si="21"/>
        <v>451-600 (Fair)</v>
      </c>
      <c r="K668" s="1"/>
    </row>
    <row r="669" spans="1:11" x14ac:dyDescent="0.35">
      <c r="A669" t="s">
        <v>1495</v>
      </c>
      <c r="B669" t="s">
        <v>1496</v>
      </c>
      <c r="C669">
        <v>60784</v>
      </c>
      <c r="D669">
        <v>644</v>
      </c>
      <c r="E669">
        <v>33553</v>
      </c>
      <c r="F669">
        <v>32</v>
      </c>
      <c r="G669">
        <v>50</v>
      </c>
      <c r="H669" t="b">
        <v>0</v>
      </c>
      <c r="I669">
        <f t="shared" si="20"/>
        <v>0</v>
      </c>
      <c r="J669" t="str">
        <f t="shared" si="21"/>
        <v>601-750 (Good)</v>
      </c>
      <c r="K669" s="1"/>
    </row>
    <row r="670" spans="1:11" x14ac:dyDescent="0.35">
      <c r="A670" t="s">
        <v>3287</v>
      </c>
      <c r="B670" t="s">
        <v>3288</v>
      </c>
      <c r="C670">
        <v>111381</v>
      </c>
      <c r="D670">
        <v>352</v>
      </c>
      <c r="E670">
        <v>33547</v>
      </c>
      <c r="F670">
        <v>37</v>
      </c>
      <c r="G670">
        <v>50</v>
      </c>
      <c r="H670" t="b">
        <v>0</v>
      </c>
      <c r="I670">
        <f t="shared" si="20"/>
        <v>0</v>
      </c>
      <c r="J670" t="str">
        <f t="shared" si="21"/>
        <v>300-450 (Poor)</v>
      </c>
      <c r="K670" s="1"/>
    </row>
    <row r="671" spans="1:11" x14ac:dyDescent="0.35">
      <c r="A671" t="s">
        <v>3544</v>
      </c>
      <c r="B671" t="s">
        <v>2656</v>
      </c>
      <c r="C671">
        <v>42978</v>
      </c>
      <c r="D671">
        <v>712</v>
      </c>
      <c r="E671">
        <v>33536</v>
      </c>
      <c r="F671">
        <v>15</v>
      </c>
      <c r="G671">
        <v>50</v>
      </c>
      <c r="H671" t="b">
        <v>0</v>
      </c>
      <c r="I671">
        <f t="shared" si="20"/>
        <v>0</v>
      </c>
      <c r="J671" t="str">
        <f t="shared" si="21"/>
        <v>601-750 (Good)</v>
      </c>
      <c r="K671" s="1"/>
    </row>
    <row r="672" spans="1:11" x14ac:dyDescent="0.35">
      <c r="A672" t="s">
        <v>1386</v>
      </c>
      <c r="B672" t="s">
        <v>1387</v>
      </c>
      <c r="C672">
        <v>117410</v>
      </c>
      <c r="D672">
        <v>451</v>
      </c>
      <c r="E672">
        <v>33527</v>
      </c>
      <c r="F672">
        <v>9</v>
      </c>
      <c r="G672">
        <v>45</v>
      </c>
      <c r="H672" t="b">
        <v>0</v>
      </c>
      <c r="I672">
        <f t="shared" si="20"/>
        <v>0</v>
      </c>
      <c r="J672" t="str">
        <f t="shared" si="21"/>
        <v>451-600 (Fair)</v>
      </c>
      <c r="K672" s="1"/>
    </row>
    <row r="673" spans="1:11" x14ac:dyDescent="0.35">
      <c r="A673" t="s">
        <v>655</v>
      </c>
      <c r="B673" t="s">
        <v>656</v>
      </c>
      <c r="C673">
        <v>91993</v>
      </c>
      <c r="D673">
        <v>378</v>
      </c>
      <c r="E673">
        <v>33515</v>
      </c>
      <c r="F673">
        <v>29</v>
      </c>
      <c r="G673">
        <v>45</v>
      </c>
      <c r="H673" t="b">
        <v>0</v>
      </c>
      <c r="I673">
        <f t="shared" si="20"/>
        <v>0</v>
      </c>
      <c r="J673" t="str">
        <f t="shared" si="21"/>
        <v>300-450 (Poor)</v>
      </c>
      <c r="K673" s="1"/>
    </row>
    <row r="674" spans="1:11" x14ac:dyDescent="0.35">
      <c r="A674" t="s">
        <v>3764</v>
      </c>
      <c r="B674" t="s">
        <v>3765</v>
      </c>
      <c r="C674">
        <v>92781</v>
      </c>
      <c r="D674">
        <v>609</v>
      </c>
      <c r="E674">
        <v>33479</v>
      </c>
      <c r="F674">
        <v>9</v>
      </c>
      <c r="G674">
        <v>55</v>
      </c>
      <c r="H674" t="b">
        <v>0</v>
      </c>
      <c r="I674">
        <f t="shared" si="20"/>
        <v>0</v>
      </c>
      <c r="J674" t="str">
        <f t="shared" si="21"/>
        <v>601-750 (Good)</v>
      </c>
      <c r="K674" s="1"/>
    </row>
    <row r="675" spans="1:11" x14ac:dyDescent="0.35">
      <c r="A675" t="s">
        <v>2261</v>
      </c>
      <c r="B675" t="s">
        <v>2262</v>
      </c>
      <c r="C675">
        <v>100236</v>
      </c>
      <c r="D675">
        <v>574</v>
      </c>
      <c r="E675">
        <v>33451</v>
      </c>
      <c r="F675">
        <v>13</v>
      </c>
      <c r="G675">
        <v>50</v>
      </c>
      <c r="H675" t="b">
        <v>0</v>
      </c>
      <c r="I675">
        <f t="shared" si="20"/>
        <v>0</v>
      </c>
      <c r="J675" t="str">
        <f t="shared" si="21"/>
        <v>451-600 (Fair)</v>
      </c>
      <c r="K675" s="1"/>
    </row>
    <row r="676" spans="1:11" x14ac:dyDescent="0.35">
      <c r="A676" t="s">
        <v>2048</v>
      </c>
      <c r="B676" t="s">
        <v>2049</v>
      </c>
      <c r="C676">
        <v>94251</v>
      </c>
      <c r="D676">
        <v>707</v>
      </c>
      <c r="E676">
        <v>33442</v>
      </c>
      <c r="F676">
        <v>34</v>
      </c>
      <c r="G676">
        <v>70</v>
      </c>
      <c r="H676" t="b">
        <v>1</v>
      </c>
      <c r="I676">
        <f t="shared" si="20"/>
        <v>1</v>
      </c>
      <c r="J676" t="str">
        <f t="shared" si="21"/>
        <v>601-750 (Good)</v>
      </c>
      <c r="K676" s="1"/>
    </row>
    <row r="677" spans="1:11" x14ac:dyDescent="0.35">
      <c r="A677" t="s">
        <v>2398</v>
      </c>
      <c r="B677" t="s">
        <v>2399</v>
      </c>
      <c r="C677">
        <v>130197</v>
      </c>
      <c r="D677">
        <v>565</v>
      </c>
      <c r="E677">
        <v>33435</v>
      </c>
      <c r="F677">
        <v>8</v>
      </c>
      <c r="G677">
        <v>45</v>
      </c>
      <c r="H677" t="b">
        <v>0</v>
      </c>
      <c r="I677">
        <f t="shared" si="20"/>
        <v>0</v>
      </c>
      <c r="J677" t="str">
        <f t="shared" si="21"/>
        <v>451-600 (Fair)</v>
      </c>
      <c r="K677" s="1"/>
    </row>
    <row r="678" spans="1:11" x14ac:dyDescent="0.35">
      <c r="A678" t="s">
        <v>616</v>
      </c>
      <c r="B678" t="s">
        <v>617</v>
      </c>
      <c r="C678">
        <v>148675</v>
      </c>
      <c r="D678">
        <v>516</v>
      </c>
      <c r="E678">
        <v>33421</v>
      </c>
      <c r="F678">
        <v>17</v>
      </c>
      <c r="G678">
        <v>55</v>
      </c>
      <c r="H678" t="b">
        <v>0</v>
      </c>
      <c r="I678">
        <f t="shared" si="20"/>
        <v>0</v>
      </c>
      <c r="J678" t="str">
        <f t="shared" si="21"/>
        <v>451-600 (Fair)</v>
      </c>
      <c r="K678" s="1"/>
    </row>
    <row r="679" spans="1:11" x14ac:dyDescent="0.35">
      <c r="A679" t="s">
        <v>3542</v>
      </c>
      <c r="B679" t="s">
        <v>3543</v>
      </c>
      <c r="C679">
        <v>115841</v>
      </c>
      <c r="D679">
        <v>323</v>
      </c>
      <c r="E679">
        <v>33297</v>
      </c>
      <c r="F679">
        <v>37</v>
      </c>
      <c r="G679">
        <v>50</v>
      </c>
      <c r="H679" t="b">
        <v>0</v>
      </c>
      <c r="I679">
        <f t="shared" si="20"/>
        <v>0</v>
      </c>
      <c r="J679" t="str">
        <f t="shared" si="21"/>
        <v>300-450 (Poor)</v>
      </c>
      <c r="K679" s="1"/>
    </row>
    <row r="680" spans="1:11" x14ac:dyDescent="0.35">
      <c r="A680" t="s">
        <v>245</v>
      </c>
      <c r="B680" t="s">
        <v>246</v>
      </c>
      <c r="C680">
        <v>65382</v>
      </c>
      <c r="D680">
        <v>611</v>
      </c>
      <c r="E680">
        <v>33284</v>
      </c>
      <c r="F680">
        <v>7</v>
      </c>
      <c r="G680">
        <v>45</v>
      </c>
      <c r="H680" t="b">
        <v>0</v>
      </c>
      <c r="I680">
        <f t="shared" si="20"/>
        <v>0</v>
      </c>
      <c r="J680" t="str">
        <f t="shared" si="21"/>
        <v>601-750 (Good)</v>
      </c>
      <c r="K680" s="1"/>
    </row>
    <row r="681" spans="1:11" x14ac:dyDescent="0.35">
      <c r="A681" t="s">
        <v>3702</v>
      </c>
      <c r="B681" t="s">
        <v>3703</v>
      </c>
      <c r="C681">
        <v>32068</v>
      </c>
      <c r="D681">
        <v>582</v>
      </c>
      <c r="E681">
        <v>33245</v>
      </c>
      <c r="F681">
        <v>19</v>
      </c>
      <c r="G681">
        <v>40</v>
      </c>
      <c r="H681" t="b">
        <v>0</v>
      </c>
      <c r="I681">
        <f t="shared" si="20"/>
        <v>0</v>
      </c>
      <c r="J681" t="str">
        <f t="shared" si="21"/>
        <v>451-600 (Fair)</v>
      </c>
      <c r="K681" s="1"/>
    </row>
    <row r="682" spans="1:11" x14ac:dyDescent="0.35">
      <c r="A682" t="s">
        <v>1481</v>
      </c>
      <c r="B682" t="s">
        <v>1482</v>
      </c>
      <c r="C682">
        <v>117012</v>
      </c>
      <c r="D682">
        <v>468</v>
      </c>
      <c r="E682">
        <v>33209</v>
      </c>
      <c r="F682">
        <v>27</v>
      </c>
      <c r="G682">
        <v>50</v>
      </c>
      <c r="H682" t="b">
        <v>0</v>
      </c>
      <c r="I682">
        <f t="shared" si="20"/>
        <v>0</v>
      </c>
      <c r="J682" t="str">
        <f t="shared" si="21"/>
        <v>451-600 (Fair)</v>
      </c>
      <c r="K682" s="1"/>
    </row>
    <row r="683" spans="1:11" x14ac:dyDescent="0.35">
      <c r="A683" t="s">
        <v>2880</v>
      </c>
      <c r="B683" t="s">
        <v>2881</v>
      </c>
      <c r="C683">
        <v>69132</v>
      </c>
      <c r="D683">
        <v>545</v>
      </c>
      <c r="E683">
        <v>33162</v>
      </c>
      <c r="F683">
        <v>12</v>
      </c>
      <c r="G683">
        <v>35</v>
      </c>
      <c r="H683" t="b">
        <v>0</v>
      </c>
      <c r="I683">
        <f t="shared" si="20"/>
        <v>0</v>
      </c>
      <c r="J683" t="str">
        <f t="shared" si="21"/>
        <v>451-600 (Fair)</v>
      </c>
      <c r="K683" s="1"/>
    </row>
    <row r="684" spans="1:11" x14ac:dyDescent="0.35">
      <c r="A684" t="s">
        <v>2886</v>
      </c>
      <c r="B684" t="s">
        <v>2887</v>
      </c>
      <c r="C684">
        <v>106011</v>
      </c>
      <c r="D684">
        <v>384</v>
      </c>
      <c r="E684">
        <v>33143</v>
      </c>
      <c r="F684">
        <v>1</v>
      </c>
      <c r="G684">
        <v>35</v>
      </c>
      <c r="H684" t="b">
        <v>0</v>
      </c>
      <c r="I684">
        <f t="shared" si="20"/>
        <v>0</v>
      </c>
      <c r="J684" t="str">
        <f t="shared" si="21"/>
        <v>300-450 (Poor)</v>
      </c>
      <c r="K684" s="1"/>
    </row>
    <row r="685" spans="1:11" x14ac:dyDescent="0.35">
      <c r="A685" t="s">
        <v>1527</v>
      </c>
      <c r="B685" t="s">
        <v>1528</v>
      </c>
      <c r="C685">
        <v>84321</v>
      </c>
      <c r="D685">
        <v>357</v>
      </c>
      <c r="E685">
        <v>33136</v>
      </c>
      <c r="F685">
        <v>34</v>
      </c>
      <c r="G685">
        <v>45</v>
      </c>
      <c r="H685" t="b">
        <v>0</v>
      </c>
      <c r="I685">
        <f t="shared" si="20"/>
        <v>0</v>
      </c>
      <c r="J685" t="str">
        <f t="shared" si="21"/>
        <v>300-450 (Poor)</v>
      </c>
      <c r="K685" s="1"/>
    </row>
    <row r="686" spans="1:11" x14ac:dyDescent="0.35">
      <c r="A686" t="s">
        <v>2559</v>
      </c>
      <c r="B686" t="s">
        <v>2560</v>
      </c>
      <c r="C686">
        <v>87560</v>
      </c>
      <c r="D686">
        <v>394</v>
      </c>
      <c r="E686">
        <v>33105</v>
      </c>
      <c r="F686">
        <v>22</v>
      </c>
      <c r="G686">
        <v>45</v>
      </c>
      <c r="H686" t="b">
        <v>0</v>
      </c>
      <c r="I686">
        <f t="shared" si="20"/>
        <v>0</v>
      </c>
      <c r="J686" t="str">
        <f t="shared" si="21"/>
        <v>300-450 (Poor)</v>
      </c>
      <c r="K686" s="1"/>
    </row>
    <row r="687" spans="1:11" x14ac:dyDescent="0.35">
      <c r="A687" t="s">
        <v>801</v>
      </c>
      <c r="B687" t="s">
        <v>802</v>
      </c>
      <c r="C687">
        <v>125748</v>
      </c>
      <c r="D687">
        <v>462</v>
      </c>
      <c r="E687">
        <v>33084</v>
      </c>
      <c r="F687">
        <v>5</v>
      </c>
      <c r="G687">
        <v>45</v>
      </c>
      <c r="H687" t="b">
        <v>0</v>
      </c>
      <c r="I687">
        <f t="shared" si="20"/>
        <v>0</v>
      </c>
      <c r="J687" t="str">
        <f t="shared" si="21"/>
        <v>451-600 (Fair)</v>
      </c>
      <c r="K687" s="1"/>
    </row>
    <row r="688" spans="1:11" x14ac:dyDescent="0.35">
      <c r="A688" t="s">
        <v>1880</v>
      </c>
      <c r="B688" t="s">
        <v>1881</v>
      </c>
      <c r="C688">
        <v>63065</v>
      </c>
      <c r="D688">
        <v>693</v>
      </c>
      <c r="E688">
        <v>33083</v>
      </c>
      <c r="F688">
        <v>19</v>
      </c>
      <c r="G688">
        <v>60</v>
      </c>
      <c r="H688" t="b">
        <v>1</v>
      </c>
      <c r="I688">
        <f t="shared" si="20"/>
        <v>1</v>
      </c>
      <c r="J688" t="str">
        <f t="shared" si="21"/>
        <v>601-750 (Good)</v>
      </c>
      <c r="K688" s="1"/>
    </row>
    <row r="689" spans="1:11" x14ac:dyDescent="0.35">
      <c r="A689" t="s">
        <v>1320</v>
      </c>
      <c r="B689" t="s">
        <v>1321</v>
      </c>
      <c r="C689">
        <v>80488</v>
      </c>
      <c r="D689">
        <v>544</v>
      </c>
      <c r="E689">
        <v>33062</v>
      </c>
      <c r="F689">
        <v>24</v>
      </c>
      <c r="G689">
        <v>40</v>
      </c>
      <c r="H689" t="b">
        <v>0</v>
      </c>
      <c r="I689">
        <f t="shared" si="20"/>
        <v>0</v>
      </c>
      <c r="J689" t="str">
        <f t="shared" si="21"/>
        <v>451-600 (Fair)</v>
      </c>
      <c r="K689" s="1"/>
    </row>
    <row r="690" spans="1:11" x14ac:dyDescent="0.35">
      <c r="A690" t="s">
        <v>2269</v>
      </c>
      <c r="B690" t="s">
        <v>2270</v>
      </c>
      <c r="C690">
        <v>55105</v>
      </c>
      <c r="D690">
        <v>301</v>
      </c>
      <c r="E690">
        <v>33001</v>
      </c>
      <c r="F690">
        <v>15</v>
      </c>
      <c r="G690">
        <v>35</v>
      </c>
      <c r="H690" t="b">
        <v>0</v>
      </c>
      <c r="I690">
        <f t="shared" si="20"/>
        <v>0</v>
      </c>
      <c r="J690" t="str">
        <f t="shared" si="21"/>
        <v>300-450 (Poor)</v>
      </c>
      <c r="K690" s="1"/>
    </row>
    <row r="691" spans="1:11" x14ac:dyDescent="0.35">
      <c r="A691" t="s">
        <v>837</v>
      </c>
      <c r="B691" t="s">
        <v>838</v>
      </c>
      <c r="C691">
        <v>36572</v>
      </c>
      <c r="D691">
        <v>794</v>
      </c>
      <c r="E691">
        <v>32989</v>
      </c>
      <c r="F691">
        <v>7</v>
      </c>
      <c r="G691">
        <v>55</v>
      </c>
      <c r="H691" t="b">
        <v>0</v>
      </c>
      <c r="I691">
        <f t="shared" si="20"/>
        <v>0</v>
      </c>
      <c r="J691" t="str">
        <f t="shared" si="21"/>
        <v>751-850 (Excellent)</v>
      </c>
      <c r="K691" s="1"/>
    </row>
    <row r="692" spans="1:11" x14ac:dyDescent="0.35">
      <c r="A692" t="s">
        <v>1117</v>
      </c>
      <c r="B692" t="s">
        <v>1118</v>
      </c>
      <c r="C692">
        <v>102420</v>
      </c>
      <c r="D692">
        <v>502</v>
      </c>
      <c r="E692">
        <v>32972</v>
      </c>
      <c r="F692">
        <v>25</v>
      </c>
      <c r="G692">
        <v>50</v>
      </c>
      <c r="H692" t="b">
        <v>0</v>
      </c>
      <c r="I692">
        <f t="shared" si="20"/>
        <v>0</v>
      </c>
      <c r="J692" t="str">
        <f t="shared" si="21"/>
        <v>451-600 (Fair)</v>
      </c>
      <c r="K692" s="1"/>
    </row>
    <row r="693" spans="1:11" x14ac:dyDescent="0.35">
      <c r="A693" t="s">
        <v>2244</v>
      </c>
      <c r="B693" t="s">
        <v>2245</v>
      </c>
      <c r="C693">
        <v>70189</v>
      </c>
      <c r="D693">
        <v>492</v>
      </c>
      <c r="E693">
        <v>32958</v>
      </c>
      <c r="F693">
        <v>6</v>
      </c>
      <c r="G693">
        <v>30</v>
      </c>
      <c r="H693" t="b">
        <v>0</v>
      </c>
      <c r="I693">
        <f t="shared" si="20"/>
        <v>0</v>
      </c>
      <c r="J693" t="str">
        <f t="shared" si="21"/>
        <v>451-600 (Fair)</v>
      </c>
      <c r="K693" s="1"/>
    </row>
    <row r="694" spans="1:11" x14ac:dyDescent="0.35">
      <c r="A694" t="s">
        <v>2694</v>
      </c>
      <c r="B694" t="s">
        <v>2695</v>
      </c>
      <c r="C694">
        <v>34809</v>
      </c>
      <c r="D694">
        <v>486</v>
      </c>
      <c r="E694">
        <v>32954</v>
      </c>
      <c r="F694">
        <v>0</v>
      </c>
      <c r="G694">
        <v>10</v>
      </c>
      <c r="H694" t="b">
        <v>0</v>
      </c>
      <c r="I694">
        <f t="shared" si="20"/>
        <v>0</v>
      </c>
      <c r="J694" t="str">
        <f t="shared" si="21"/>
        <v>451-600 (Fair)</v>
      </c>
      <c r="K694" s="1"/>
    </row>
    <row r="695" spans="1:11" x14ac:dyDescent="0.35">
      <c r="A695" t="s">
        <v>1236</v>
      </c>
      <c r="B695" t="s">
        <v>1237</v>
      </c>
      <c r="C695">
        <v>70001</v>
      </c>
      <c r="D695">
        <v>764</v>
      </c>
      <c r="E695">
        <v>32949</v>
      </c>
      <c r="F695">
        <v>1</v>
      </c>
      <c r="G695">
        <v>55</v>
      </c>
      <c r="H695" t="b">
        <v>0</v>
      </c>
      <c r="I695">
        <f t="shared" si="20"/>
        <v>0</v>
      </c>
      <c r="J695" t="str">
        <f t="shared" si="21"/>
        <v>751-850 (Excellent)</v>
      </c>
      <c r="K695" s="1"/>
    </row>
    <row r="696" spans="1:11" x14ac:dyDescent="0.35">
      <c r="A696" t="s">
        <v>896</v>
      </c>
      <c r="B696" t="s">
        <v>897</v>
      </c>
      <c r="C696">
        <v>106503</v>
      </c>
      <c r="D696">
        <v>756</v>
      </c>
      <c r="E696">
        <v>32903</v>
      </c>
      <c r="F696">
        <v>2</v>
      </c>
      <c r="G696">
        <v>75</v>
      </c>
      <c r="H696" t="b">
        <v>1</v>
      </c>
      <c r="I696">
        <f t="shared" si="20"/>
        <v>1</v>
      </c>
      <c r="J696" t="str">
        <f t="shared" si="21"/>
        <v>751-850 (Excellent)</v>
      </c>
      <c r="K696" s="1"/>
    </row>
    <row r="697" spans="1:11" x14ac:dyDescent="0.35">
      <c r="A697" t="s">
        <v>1082</v>
      </c>
      <c r="B697" t="s">
        <v>1083</v>
      </c>
      <c r="C697">
        <v>127154</v>
      </c>
      <c r="D697">
        <v>409</v>
      </c>
      <c r="E697">
        <v>32809</v>
      </c>
      <c r="F697">
        <v>12</v>
      </c>
      <c r="G697">
        <v>50</v>
      </c>
      <c r="H697" t="b">
        <v>0</v>
      </c>
      <c r="I697">
        <f t="shared" si="20"/>
        <v>0</v>
      </c>
      <c r="J697" t="str">
        <f t="shared" si="21"/>
        <v>300-450 (Poor)</v>
      </c>
      <c r="K697" s="1"/>
    </row>
    <row r="698" spans="1:11" x14ac:dyDescent="0.35">
      <c r="A698" t="s">
        <v>3020</v>
      </c>
      <c r="B698" t="s">
        <v>3021</v>
      </c>
      <c r="C698">
        <v>115175</v>
      </c>
      <c r="D698">
        <v>627</v>
      </c>
      <c r="E698">
        <v>32765</v>
      </c>
      <c r="F698">
        <v>20</v>
      </c>
      <c r="G698">
        <v>65</v>
      </c>
      <c r="H698" t="b">
        <v>1</v>
      </c>
      <c r="I698">
        <f t="shared" si="20"/>
        <v>1</v>
      </c>
      <c r="J698" t="str">
        <f t="shared" si="21"/>
        <v>601-750 (Good)</v>
      </c>
      <c r="K698" s="1"/>
    </row>
    <row r="699" spans="1:11" x14ac:dyDescent="0.35">
      <c r="A699" t="s">
        <v>398</v>
      </c>
      <c r="B699" t="s">
        <v>399</v>
      </c>
      <c r="C699">
        <v>119353</v>
      </c>
      <c r="D699">
        <v>725</v>
      </c>
      <c r="E699">
        <v>32735</v>
      </c>
      <c r="F699">
        <v>29</v>
      </c>
      <c r="G699">
        <v>75</v>
      </c>
      <c r="H699" t="b">
        <v>1</v>
      </c>
      <c r="I699">
        <f t="shared" si="20"/>
        <v>1</v>
      </c>
      <c r="J699" t="str">
        <f t="shared" si="21"/>
        <v>601-750 (Good)</v>
      </c>
      <c r="K699" s="1"/>
    </row>
    <row r="700" spans="1:11" x14ac:dyDescent="0.35">
      <c r="A700" t="s">
        <v>550</v>
      </c>
      <c r="B700" t="s">
        <v>551</v>
      </c>
      <c r="C700">
        <v>100686</v>
      </c>
      <c r="D700">
        <v>606</v>
      </c>
      <c r="E700">
        <v>32734</v>
      </c>
      <c r="F700">
        <v>4</v>
      </c>
      <c r="G700">
        <v>55</v>
      </c>
      <c r="H700" t="b">
        <v>0</v>
      </c>
      <c r="I700">
        <f t="shared" si="20"/>
        <v>0</v>
      </c>
      <c r="J700" t="str">
        <f t="shared" si="21"/>
        <v>601-750 (Good)</v>
      </c>
      <c r="K700" s="1"/>
    </row>
    <row r="701" spans="1:11" x14ac:dyDescent="0.35">
      <c r="A701" t="s">
        <v>3236</v>
      </c>
      <c r="B701" t="s">
        <v>3237</v>
      </c>
      <c r="C701">
        <v>116275</v>
      </c>
      <c r="D701">
        <v>744</v>
      </c>
      <c r="E701">
        <v>32679</v>
      </c>
      <c r="F701">
        <v>17</v>
      </c>
      <c r="G701">
        <v>85</v>
      </c>
      <c r="H701" t="b">
        <v>1</v>
      </c>
      <c r="I701">
        <f t="shared" si="20"/>
        <v>1</v>
      </c>
      <c r="J701" t="str">
        <f t="shared" si="21"/>
        <v>601-750 (Good)</v>
      </c>
      <c r="K701" s="1"/>
    </row>
    <row r="702" spans="1:11" x14ac:dyDescent="0.35">
      <c r="A702" t="s">
        <v>2573</v>
      </c>
      <c r="B702" t="s">
        <v>1079</v>
      </c>
      <c r="C702">
        <v>65683</v>
      </c>
      <c r="D702">
        <v>645</v>
      </c>
      <c r="E702">
        <v>32624</v>
      </c>
      <c r="F702">
        <v>25</v>
      </c>
      <c r="G702">
        <v>50</v>
      </c>
      <c r="H702" t="b">
        <v>0</v>
      </c>
      <c r="I702">
        <f t="shared" si="20"/>
        <v>0</v>
      </c>
      <c r="J702" t="str">
        <f t="shared" si="21"/>
        <v>601-750 (Good)</v>
      </c>
      <c r="K702" s="1"/>
    </row>
    <row r="703" spans="1:11" x14ac:dyDescent="0.35">
      <c r="A703" t="s">
        <v>203</v>
      </c>
      <c r="B703" t="s">
        <v>204</v>
      </c>
      <c r="C703">
        <v>139328</v>
      </c>
      <c r="D703">
        <v>725</v>
      </c>
      <c r="E703">
        <v>32621</v>
      </c>
      <c r="F703">
        <v>30</v>
      </c>
      <c r="G703">
        <v>80</v>
      </c>
      <c r="H703" t="b">
        <v>1</v>
      </c>
      <c r="I703">
        <f t="shared" si="20"/>
        <v>1</v>
      </c>
      <c r="J703" t="str">
        <f t="shared" si="21"/>
        <v>601-750 (Good)</v>
      </c>
      <c r="K703" s="1"/>
    </row>
    <row r="704" spans="1:11" x14ac:dyDescent="0.35">
      <c r="A704" t="s">
        <v>1003</v>
      </c>
      <c r="B704" t="s">
        <v>1004</v>
      </c>
      <c r="C704">
        <v>43577</v>
      </c>
      <c r="D704">
        <v>343</v>
      </c>
      <c r="E704">
        <v>32607</v>
      </c>
      <c r="F704">
        <v>23</v>
      </c>
      <c r="G704">
        <v>25</v>
      </c>
      <c r="H704" t="b">
        <v>0</v>
      </c>
      <c r="I704">
        <f t="shared" si="20"/>
        <v>0</v>
      </c>
      <c r="J704" t="str">
        <f t="shared" si="21"/>
        <v>300-450 (Poor)</v>
      </c>
      <c r="K704" s="1"/>
    </row>
    <row r="705" spans="1:11" x14ac:dyDescent="0.35">
      <c r="A705" t="s">
        <v>2091</v>
      </c>
      <c r="B705" t="s">
        <v>2092</v>
      </c>
      <c r="C705">
        <v>87091</v>
      </c>
      <c r="D705">
        <v>734</v>
      </c>
      <c r="E705">
        <v>32541</v>
      </c>
      <c r="F705">
        <v>26</v>
      </c>
      <c r="G705">
        <v>70</v>
      </c>
      <c r="H705" t="b">
        <v>1</v>
      </c>
      <c r="I705">
        <f t="shared" si="20"/>
        <v>1</v>
      </c>
      <c r="J705" t="str">
        <f t="shared" si="21"/>
        <v>601-750 (Good)</v>
      </c>
      <c r="K705" s="1"/>
    </row>
    <row r="706" spans="1:11" x14ac:dyDescent="0.35">
      <c r="A706" t="s">
        <v>3802</v>
      </c>
      <c r="B706" t="s">
        <v>3803</v>
      </c>
      <c r="C706">
        <v>112978</v>
      </c>
      <c r="D706">
        <v>705</v>
      </c>
      <c r="E706">
        <v>32535</v>
      </c>
      <c r="F706">
        <v>31</v>
      </c>
      <c r="G706">
        <v>75</v>
      </c>
      <c r="H706" t="b">
        <v>1</v>
      </c>
      <c r="I706">
        <f t="shared" si="20"/>
        <v>1</v>
      </c>
      <c r="J706" t="str">
        <f t="shared" si="21"/>
        <v>601-750 (Good)</v>
      </c>
      <c r="K706" s="1"/>
    </row>
    <row r="707" spans="1:11" x14ac:dyDescent="0.35">
      <c r="A707" t="s">
        <v>1609</v>
      </c>
      <c r="B707" t="s">
        <v>1610</v>
      </c>
      <c r="C707">
        <v>128992</v>
      </c>
      <c r="D707">
        <v>514</v>
      </c>
      <c r="E707">
        <v>32530</v>
      </c>
      <c r="F707">
        <v>9</v>
      </c>
      <c r="G707">
        <v>45</v>
      </c>
      <c r="H707" t="b">
        <v>0</v>
      </c>
      <c r="I707">
        <f t="shared" si="20"/>
        <v>0</v>
      </c>
      <c r="J707" t="str">
        <f t="shared" si="21"/>
        <v>451-600 (Fair)</v>
      </c>
      <c r="K707" s="1"/>
    </row>
    <row r="708" spans="1:11" x14ac:dyDescent="0.35">
      <c r="A708" t="s">
        <v>3623</v>
      </c>
      <c r="B708" t="s">
        <v>3624</v>
      </c>
      <c r="C708">
        <v>46505</v>
      </c>
      <c r="D708">
        <v>658</v>
      </c>
      <c r="E708">
        <v>32462</v>
      </c>
      <c r="F708">
        <v>29</v>
      </c>
      <c r="G708">
        <v>40</v>
      </c>
      <c r="H708" t="b">
        <v>0</v>
      </c>
      <c r="I708">
        <f t="shared" ref="I708:I771" si="22">--H708</f>
        <v>0</v>
      </c>
      <c r="J708" t="str">
        <f t="shared" ref="J708:J771" si="23">IF(D708&gt;750, "751-850 (Excellent)", IF(D708&gt;600, "601-750 (Good)", IF(D708&gt;450, "451-600 (Fair)", "300-450 (Poor)")))</f>
        <v>601-750 (Good)</v>
      </c>
      <c r="K708" s="1"/>
    </row>
    <row r="709" spans="1:11" x14ac:dyDescent="0.35">
      <c r="A709" t="s">
        <v>924</v>
      </c>
      <c r="B709" t="s">
        <v>925</v>
      </c>
      <c r="C709">
        <v>114607</v>
      </c>
      <c r="D709">
        <v>639</v>
      </c>
      <c r="E709">
        <v>32454</v>
      </c>
      <c r="F709">
        <v>29</v>
      </c>
      <c r="G709">
        <v>65</v>
      </c>
      <c r="H709" t="b">
        <v>1</v>
      </c>
      <c r="I709">
        <f t="shared" si="22"/>
        <v>1</v>
      </c>
      <c r="J709" t="str">
        <f t="shared" si="23"/>
        <v>601-750 (Good)</v>
      </c>
      <c r="K709" s="1"/>
    </row>
    <row r="710" spans="1:11" x14ac:dyDescent="0.35">
      <c r="A710" t="s">
        <v>3723</v>
      </c>
      <c r="B710" t="s">
        <v>3724</v>
      </c>
      <c r="C710">
        <v>92422</v>
      </c>
      <c r="D710">
        <v>796</v>
      </c>
      <c r="E710">
        <v>32450</v>
      </c>
      <c r="F710">
        <v>36</v>
      </c>
      <c r="G710">
        <v>80</v>
      </c>
      <c r="H710" t="b">
        <v>1</v>
      </c>
      <c r="I710">
        <f t="shared" si="22"/>
        <v>1</v>
      </c>
      <c r="J710" t="str">
        <f t="shared" si="23"/>
        <v>751-850 (Excellent)</v>
      </c>
      <c r="K710" s="1"/>
    </row>
    <row r="711" spans="1:11" x14ac:dyDescent="0.35">
      <c r="A711" t="s">
        <v>3136</v>
      </c>
      <c r="B711" t="s">
        <v>3137</v>
      </c>
      <c r="C711">
        <v>144142</v>
      </c>
      <c r="D711">
        <v>430</v>
      </c>
      <c r="E711">
        <v>32415</v>
      </c>
      <c r="F711">
        <v>39</v>
      </c>
      <c r="G711">
        <v>55</v>
      </c>
      <c r="H711" t="b">
        <v>0</v>
      </c>
      <c r="I711">
        <f t="shared" si="22"/>
        <v>0</v>
      </c>
      <c r="J711" t="str">
        <f t="shared" si="23"/>
        <v>300-450 (Poor)</v>
      </c>
      <c r="K711" s="1"/>
    </row>
    <row r="712" spans="1:11" x14ac:dyDescent="0.35">
      <c r="A712" t="s">
        <v>2925</v>
      </c>
      <c r="B712" t="s">
        <v>2926</v>
      </c>
      <c r="C712">
        <v>80196</v>
      </c>
      <c r="D712">
        <v>765</v>
      </c>
      <c r="E712">
        <v>32400</v>
      </c>
      <c r="F712">
        <v>9</v>
      </c>
      <c r="G712">
        <v>70</v>
      </c>
      <c r="H712" t="b">
        <v>1</v>
      </c>
      <c r="I712">
        <f t="shared" si="22"/>
        <v>1</v>
      </c>
      <c r="J712" t="str">
        <f t="shared" si="23"/>
        <v>751-850 (Excellent)</v>
      </c>
      <c r="K712" s="1"/>
    </row>
    <row r="713" spans="1:11" x14ac:dyDescent="0.35">
      <c r="A713" t="s">
        <v>948</v>
      </c>
      <c r="B713" t="s">
        <v>949</v>
      </c>
      <c r="C713">
        <v>100468</v>
      </c>
      <c r="D713">
        <v>790</v>
      </c>
      <c r="E713">
        <v>32393</v>
      </c>
      <c r="F713">
        <v>13</v>
      </c>
      <c r="G713">
        <v>85</v>
      </c>
      <c r="H713" t="b">
        <v>1</v>
      </c>
      <c r="I713">
        <f t="shared" si="22"/>
        <v>1</v>
      </c>
      <c r="J713" t="str">
        <f t="shared" si="23"/>
        <v>751-850 (Excellent)</v>
      </c>
      <c r="K713" s="1"/>
    </row>
    <row r="714" spans="1:11" x14ac:dyDescent="0.35">
      <c r="A714" t="s">
        <v>556</v>
      </c>
      <c r="B714" t="s">
        <v>557</v>
      </c>
      <c r="C714">
        <v>120422</v>
      </c>
      <c r="D714">
        <v>505</v>
      </c>
      <c r="E714">
        <v>32392</v>
      </c>
      <c r="F714">
        <v>20</v>
      </c>
      <c r="G714">
        <v>50</v>
      </c>
      <c r="H714" t="b">
        <v>0</v>
      </c>
      <c r="I714">
        <f t="shared" si="22"/>
        <v>0</v>
      </c>
      <c r="J714" t="str">
        <f t="shared" si="23"/>
        <v>451-600 (Fair)</v>
      </c>
      <c r="K714" s="1"/>
    </row>
    <row r="715" spans="1:11" x14ac:dyDescent="0.35">
      <c r="A715" t="s">
        <v>2075</v>
      </c>
      <c r="B715" t="s">
        <v>2076</v>
      </c>
      <c r="C715">
        <v>115256</v>
      </c>
      <c r="D715">
        <v>639</v>
      </c>
      <c r="E715">
        <v>32385</v>
      </c>
      <c r="F715">
        <v>9</v>
      </c>
      <c r="G715">
        <v>60</v>
      </c>
      <c r="H715" t="b">
        <v>1</v>
      </c>
      <c r="I715">
        <f t="shared" si="22"/>
        <v>1</v>
      </c>
      <c r="J715" t="str">
        <f t="shared" si="23"/>
        <v>601-750 (Good)</v>
      </c>
      <c r="K715" s="1"/>
    </row>
    <row r="716" spans="1:11" x14ac:dyDescent="0.35">
      <c r="A716" t="s">
        <v>2122</v>
      </c>
      <c r="B716" t="s">
        <v>2123</v>
      </c>
      <c r="C716">
        <v>109997</v>
      </c>
      <c r="D716">
        <v>691</v>
      </c>
      <c r="E716">
        <v>32257</v>
      </c>
      <c r="F716">
        <v>37</v>
      </c>
      <c r="G716">
        <v>75</v>
      </c>
      <c r="H716" t="b">
        <v>1</v>
      </c>
      <c r="I716">
        <f t="shared" si="22"/>
        <v>1</v>
      </c>
      <c r="J716" t="str">
        <f t="shared" si="23"/>
        <v>601-750 (Good)</v>
      </c>
      <c r="K716" s="1"/>
    </row>
    <row r="717" spans="1:11" x14ac:dyDescent="0.35">
      <c r="A717" t="s">
        <v>1987</v>
      </c>
      <c r="B717" t="s">
        <v>1988</v>
      </c>
      <c r="C717">
        <v>39961</v>
      </c>
      <c r="D717">
        <v>712</v>
      </c>
      <c r="E717">
        <v>32251</v>
      </c>
      <c r="F717">
        <v>37</v>
      </c>
      <c r="G717">
        <v>50</v>
      </c>
      <c r="H717" t="b">
        <v>0</v>
      </c>
      <c r="I717">
        <f t="shared" si="22"/>
        <v>0</v>
      </c>
      <c r="J717" t="str">
        <f t="shared" si="23"/>
        <v>601-750 (Good)</v>
      </c>
      <c r="K717" s="1"/>
    </row>
    <row r="718" spans="1:11" x14ac:dyDescent="0.35">
      <c r="A718" t="s">
        <v>2793</v>
      </c>
      <c r="B718" t="s">
        <v>2794</v>
      </c>
      <c r="C718">
        <v>59451</v>
      </c>
      <c r="D718">
        <v>731</v>
      </c>
      <c r="E718">
        <v>32230</v>
      </c>
      <c r="F718">
        <v>29</v>
      </c>
      <c r="G718">
        <v>60</v>
      </c>
      <c r="H718" t="b">
        <v>1</v>
      </c>
      <c r="I718">
        <f t="shared" si="22"/>
        <v>1</v>
      </c>
      <c r="J718" t="str">
        <f t="shared" si="23"/>
        <v>601-750 (Good)</v>
      </c>
      <c r="K718" s="1"/>
    </row>
    <row r="719" spans="1:11" x14ac:dyDescent="0.35">
      <c r="A719" t="s">
        <v>3066</v>
      </c>
      <c r="B719" t="s">
        <v>3067</v>
      </c>
      <c r="C719">
        <v>59817</v>
      </c>
      <c r="D719">
        <v>331</v>
      </c>
      <c r="E719">
        <v>32228</v>
      </c>
      <c r="F719">
        <v>11</v>
      </c>
      <c r="G719">
        <v>35</v>
      </c>
      <c r="H719" t="b">
        <v>0</v>
      </c>
      <c r="I719">
        <f t="shared" si="22"/>
        <v>0</v>
      </c>
      <c r="J719" t="str">
        <f t="shared" si="23"/>
        <v>300-450 (Poor)</v>
      </c>
      <c r="K719" s="1"/>
    </row>
    <row r="720" spans="1:11" x14ac:dyDescent="0.35">
      <c r="A720" t="s">
        <v>1590</v>
      </c>
      <c r="B720" t="s">
        <v>1591</v>
      </c>
      <c r="C720">
        <v>45906</v>
      </c>
      <c r="D720">
        <v>697</v>
      </c>
      <c r="E720">
        <v>32223</v>
      </c>
      <c r="F720">
        <v>17</v>
      </c>
      <c r="G720">
        <v>50</v>
      </c>
      <c r="H720" t="b">
        <v>0</v>
      </c>
      <c r="I720">
        <f t="shared" si="22"/>
        <v>0</v>
      </c>
      <c r="J720" t="str">
        <f t="shared" si="23"/>
        <v>601-750 (Good)</v>
      </c>
      <c r="K720" s="1"/>
    </row>
    <row r="721" spans="1:11" x14ac:dyDescent="0.35">
      <c r="A721" t="s">
        <v>745</v>
      </c>
      <c r="B721" t="s">
        <v>746</v>
      </c>
      <c r="C721">
        <v>115477</v>
      </c>
      <c r="D721">
        <v>541</v>
      </c>
      <c r="E721">
        <v>32212</v>
      </c>
      <c r="F721">
        <v>19</v>
      </c>
      <c r="G721">
        <v>50</v>
      </c>
      <c r="H721" t="b">
        <v>0</v>
      </c>
      <c r="I721">
        <f t="shared" si="22"/>
        <v>0</v>
      </c>
      <c r="J721" t="str">
        <f t="shared" si="23"/>
        <v>451-600 (Fair)</v>
      </c>
      <c r="K721" s="1"/>
    </row>
    <row r="722" spans="1:11" x14ac:dyDescent="0.35">
      <c r="A722" t="s">
        <v>1483</v>
      </c>
      <c r="B722" t="s">
        <v>1484</v>
      </c>
      <c r="C722">
        <v>112960</v>
      </c>
      <c r="D722">
        <v>781</v>
      </c>
      <c r="E722">
        <v>32189</v>
      </c>
      <c r="F722">
        <v>35</v>
      </c>
      <c r="G722">
        <v>85</v>
      </c>
      <c r="H722" t="b">
        <v>1</v>
      </c>
      <c r="I722">
        <f t="shared" si="22"/>
        <v>1</v>
      </c>
      <c r="J722" t="str">
        <f t="shared" si="23"/>
        <v>751-850 (Excellent)</v>
      </c>
      <c r="K722" s="1"/>
    </row>
    <row r="723" spans="1:11" x14ac:dyDescent="0.35">
      <c r="A723" t="s">
        <v>960</v>
      </c>
      <c r="B723" t="s">
        <v>961</v>
      </c>
      <c r="C723">
        <v>145456</v>
      </c>
      <c r="D723">
        <v>481</v>
      </c>
      <c r="E723">
        <v>32186</v>
      </c>
      <c r="F723">
        <v>39</v>
      </c>
      <c r="G723">
        <v>55</v>
      </c>
      <c r="H723" t="b">
        <v>0</v>
      </c>
      <c r="I723">
        <f t="shared" si="22"/>
        <v>0</v>
      </c>
      <c r="J723" t="str">
        <f t="shared" si="23"/>
        <v>451-600 (Fair)</v>
      </c>
      <c r="K723" s="1"/>
    </row>
    <row r="724" spans="1:11" x14ac:dyDescent="0.35">
      <c r="A724" t="s">
        <v>2623</v>
      </c>
      <c r="B724" t="s">
        <v>2624</v>
      </c>
      <c r="C724">
        <v>105529</v>
      </c>
      <c r="D724">
        <v>698</v>
      </c>
      <c r="E724">
        <v>32169</v>
      </c>
      <c r="F724">
        <v>35</v>
      </c>
      <c r="G724">
        <v>75</v>
      </c>
      <c r="H724" t="b">
        <v>1</v>
      </c>
      <c r="I724">
        <f t="shared" si="22"/>
        <v>1</v>
      </c>
      <c r="J724" t="str">
        <f t="shared" si="23"/>
        <v>601-750 (Good)</v>
      </c>
      <c r="K724" s="1"/>
    </row>
    <row r="725" spans="1:11" x14ac:dyDescent="0.35">
      <c r="A725" t="s">
        <v>1501</v>
      </c>
      <c r="B725" t="s">
        <v>1502</v>
      </c>
      <c r="C725">
        <v>59444</v>
      </c>
      <c r="D725">
        <v>843</v>
      </c>
      <c r="E725">
        <v>32147</v>
      </c>
      <c r="F725">
        <v>27</v>
      </c>
      <c r="G725">
        <v>75</v>
      </c>
      <c r="H725" t="b">
        <v>1</v>
      </c>
      <c r="I725">
        <f t="shared" si="22"/>
        <v>1</v>
      </c>
      <c r="J725" t="str">
        <f t="shared" si="23"/>
        <v>751-850 (Excellent)</v>
      </c>
      <c r="K725" s="1"/>
    </row>
    <row r="726" spans="1:11" x14ac:dyDescent="0.35">
      <c r="A726" t="s">
        <v>1679</v>
      </c>
      <c r="B726" t="s">
        <v>1680</v>
      </c>
      <c r="C726">
        <v>60735</v>
      </c>
      <c r="D726">
        <v>686</v>
      </c>
      <c r="E726">
        <v>32144</v>
      </c>
      <c r="F726">
        <v>38</v>
      </c>
      <c r="G726">
        <v>60</v>
      </c>
      <c r="H726" t="b">
        <v>1</v>
      </c>
      <c r="I726">
        <f t="shared" si="22"/>
        <v>1</v>
      </c>
      <c r="J726" t="str">
        <f t="shared" si="23"/>
        <v>601-750 (Good)</v>
      </c>
      <c r="K726" s="1"/>
    </row>
    <row r="727" spans="1:11" x14ac:dyDescent="0.35">
      <c r="A727" t="s">
        <v>1258</v>
      </c>
      <c r="B727" t="s">
        <v>1259</v>
      </c>
      <c r="C727">
        <v>66517</v>
      </c>
      <c r="D727">
        <v>477</v>
      </c>
      <c r="E727">
        <v>32121</v>
      </c>
      <c r="F727">
        <v>8</v>
      </c>
      <c r="G727">
        <v>30</v>
      </c>
      <c r="H727" t="b">
        <v>0</v>
      </c>
      <c r="I727">
        <f t="shared" si="22"/>
        <v>0</v>
      </c>
      <c r="J727" t="str">
        <f t="shared" si="23"/>
        <v>451-600 (Fair)</v>
      </c>
      <c r="K727" s="1"/>
    </row>
    <row r="728" spans="1:11" x14ac:dyDescent="0.35">
      <c r="A728" t="s">
        <v>1287</v>
      </c>
      <c r="B728" t="s">
        <v>1288</v>
      </c>
      <c r="C728">
        <v>144955</v>
      </c>
      <c r="D728">
        <v>699</v>
      </c>
      <c r="E728">
        <v>32102</v>
      </c>
      <c r="F728">
        <v>16</v>
      </c>
      <c r="G728">
        <v>80</v>
      </c>
      <c r="H728" t="b">
        <v>1</v>
      </c>
      <c r="I728">
        <f t="shared" si="22"/>
        <v>1</v>
      </c>
      <c r="J728" t="str">
        <f t="shared" si="23"/>
        <v>601-750 (Good)</v>
      </c>
      <c r="K728" s="1"/>
    </row>
    <row r="729" spans="1:11" x14ac:dyDescent="0.35">
      <c r="A729" t="s">
        <v>3280</v>
      </c>
      <c r="B729" t="s">
        <v>3281</v>
      </c>
      <c r="C729">
        <v>76179</v>
      </c>
      <c r="D729">
        <v>364</v>
      </c>
      <c r="E729">
        <v>32097</v>
      </c>
      <c r="F729">
        <v>26</v>
      </c>
      <c r="G729">
        <v>40</v>
      </c>
      <c r="H729" t="b">
        <v>0</v>
      </c>
      <c r="I729">
        <f t="shared" si="22"/>
        <v>0</v>
      </c>
      <c r="J729" t="str">
        <f t="shared" si="23"/>
        <v>300-450 (Poor)</v>
      </c>
      <c r="K729" s="1"/>
    </row>
    <row r="730" spans="1:11" x14ac:dyDescent="0.35">
      <c r="A730" t="s">
        <v>3825</v>
      </c>
      <c r="B730" t="s">
        <v>3826</v>
      </c>
      <c r="C730">
        <v>42999</v>
      </c>
      <c r="D730">
        <v>751</v>
      </c>
      <c r="E730">
        <v>32075</v>
      </c>
      <c r="F730">
        <v>32</v>
      </c>
      <c r="G730">
        <v>60</v>
      </c>
      <c r="H730" t="b">
        <v>1</v>
      </c>
      <c r="I730">
        <f t="shared" si="22"/>
        <v>1</v>
      </c>
      <c r="J730" t="str">
        <f t="shared" si="23"/>
        <v>751-850 (Excellent)</v>
      </c>
      <c r="K730" s="1"/>
    </row>
    <row r="731" spans="1:11" x14ac:dyDescent="0.35">
      <c r="A731" t="s">
        <v>1388</v>
      </c>
      <c r="B731" t="s">
        <v>1389</v>
      </c>
      <c r="C731">
        <v>83528</v>
      </c>
      <c r="D731">
        <v>435</v>
      </c>
      <c r="E731">
        <v>32057</v>
      </c>
      <c r="F731">
        <v>22</v>
      </c>
      <c r="G731">
        <v>45</v>
      </c>
      <c r="H731" t="b">
        <v>0</v>
      </c>
      <c r="I731">
        <f t="shared" si="22"/>
        <v>0</v>
      </c>
      <c r="J731" t="str">
        <f t="shared" si="23"/>
        <v>300-450 (Poor)</v>
      </c>
      <c r="K731" s="1"/>
    </row>
    <row r="732" spans="1:11" x14ac:dyDescent="0.35">
      <c r="A732" t="s">
        <v>3018</v>
      </c>
      <c r="B732" t="s">
        <v>3019</v>
      </c>
      <c r="C732">
        <v>82098</v>
      </c>
      <c r="D732">
        <v>360</v>
      </c>
      <c r="E732">
        <v>32047</v>
      </c>
      <c r="F732">
        <v>15</v>
      </c>
      <c r="G732">
        <v>45</v>
      </c>
      <c r="H732" t="b">
        <v>0</v>
      </c>
      <c r="I732">
        <f t="shared" si="22"/>
        <v>0</v>
      </c>
      <c r="J732" t="str">
        <f t="shared" si="23"/>
        <v>300-450 (Poor)</v>
      </c>
      <c r="K732" s="1"/>
    </row>
    <row r="733" spans="1:11" x14ac:dyDescent="0.35">
      <c r="A733" t="s">
        <v>737</v>
      </c>
      <c r="B733" t="s">
        <v>738</v>
      </c>
      <c r="C733">
        <v>142193</v>
      </c>
      <c r="D733">
        <v>383</v>
      </c>
      <c r="E733">
        <v>32035</v>
      </c>
      <c r="F733">
        <v>7</v>
      </c>
      <c r="G733">
        <v>50</v>
      </c>
      <c r="H733" t="b">
        <v>0</v>
      </c>
      <c r="I733">
        <f t="shared" si="22"/>
        <v>0</v>
      </c>
      <c r="J733" t="str">
        <f t="shared" si="23"/>
        <v>300-450 (Poor)</v>
      </c>
      <c r="K733" s="1"/>
    </row>
    <row r="734" spans="1:11" x14ac:dyDescent="0.35">
      <c r="A734" t="s">
        <v>3311</v>
      </c>
      <c r="B734" t="s">
        <v>3312</v>
      </c>
      <c r="C734">
        <v>148410</v>
      </c>
      <c r="D734">
        <v>439</v>
      </c>
      <c r="E734">
        <v>32026</v>
      </c>
      <c r="F734">
        <v>31</v>
      </c>
      <c r="G734">
        <v>55</v>
      </c>
      <c r="H734" t="b">
        <v>0</v>
      </c>
      <c r="I734">
        <f t="shared" si="22"/>
        <v>0</v>
      </c>
      <c r="J734" t="str">
        <f t="shared" si="23"/>
        <v>300-450 (Poor)</v>
      </c>
      <c r="K734" s="1"/>
    </row>
    <row r="735" spans="1:11" x14ac:dyDescent="0.35">
      <c r="A735" t="s">
        <v>2147</v>
      </c>
      <c r="B735" t="s">
        <v>2148</v>
      </c>
      <c r="C735">
        <v>63862</v>
      </c>
      <c r="D735">
        <v>740</v>
      </c>
      <c r="E735">
        <v>32025</v>
      </c>
      <c r="F735">
        <v>13</v>
      </c>
      <c r="G735">
        <v>70</v>
      </c>
      <c r="H735" t="b">
        <v>1</v>
      </c>
      <c r="I735">
        <f t="shared" si="22"/>
        <v>1</v>
      </c>
      <c r="J735" t="str">
        <f t="shared" si="23"/>
        <v>601-750 (Good)</v>
      </c>
      <c r="K735" s="1"/>
    </row>
    <row r="736" spans="1:11" x14ac:dyDescent="0.35">
      <c r="A736" t="s">
        <v>3075</v>
      </c>
      <c r="B736" t="s">
        <v>3076</v>
      </c>
      <c r="C736">
        <v>129663</v>
      </c>
      <c r="D736">
        <v>767</v>
      </c>
      <c r="E736">
        <v>31964</v>
      </c>
      <c r="F736">
        <v>34</v>
      </c>
      <c r="G736">
        <v>90</v>
      </c>
      <c r="H736" t="b">
        <v>1</v>
      </c>
      <c r="I736">
        <f t="shared" si="22"/>
        <v>1</v>
      </c>
      <c r="J736" t="str">
        <f t="shared" si="23"/>
        <v>751-850 (Excellent)</v>
      </c>
      <c r="K736" s="1"/>
    </row>
    <row r="737" spans="1:11" x14ac:dyDescent="0.35">
      <c r="A737" t="s">
        <v>2408</v>
      </c>
      <c r="B737" t="s">
        <v>2409</v>
      </c>
      <c r="C737">
        <v>111057</v>
      </c>
      <c r="D737">
        <v>683</v>
      </c>
      <c r="E737">
        <v>31846</v>
      </c>
      <c r="F737">
        <v>18</v>
      </c>
      <c r="G737">
        <v>75</v>
      </c>
      <c r="H737" t="b">
        <v>1</v>
      </c>
      <c r="I737">
        <f t="shared" si="22"/>
        <v>1</v>
      </c>
      <c r="J737" t="str">
        <f t="shared" si="23"/>
        <v>601-750 (Good)</v>
      </c>
      <c r="K737" s="1"/>
    </row>
    <row r="738" spans="1:11" x14ac:dyDescent="0.35">
      <c r="A738" t="s">
        <v>3659</v>
      </c>
      <c r="B738" t="s">
        <v>3660</v>
      </c>
      <c r="C738">
        <v>108116</v>
      </c>
      <c r="D738">
        <v>725</v>
      </c>
      <c r="E738">
        <v>31808</v>
      </c>
      <c r="F738">
        <v>5</v>
      </c>
      <c r="G738">
        <v>70</v>
      </c>
      <c r="H738" t="b">
        <v>1</v>
      </c>
      <c r="I738">
        <f t="shared" si="22"/>
        <v>1</v>
      </c>
      <c r="J738" t="str">
        <f t="shared" si="23"/>
        <v>601-750 (Good)</v>
      </c>
      <c r="K738" s="1"/>
    </row>
    <row r="739" spans="1:11" x14ac:dyDescent="0.35">
      <c r="A739" t="s">
        <v>191</v>
      </c>
      <c r="B739" t="s">
        <v>192</v>
      </c>
      <c r="C739">
        <v>143571</v>
      </c>
      <c r="D739">
        <v>393</v>
      </c>
      <c r="E739">
        <v>31802</v>
      </c>
      <c r="F739">
        <v>22</v>
      </c>
      <c r="G739">
        <v>55</v>
      </c>
      <c r="H739" t="b">
        <v>0</v>
      </c>
      <c r="I739">
        <f t="shared" si="22"/>
        <v>0</v>
      </c>
      <c r="J739" t="str">
        <f t="shared" si="23"/>
        <v>300-450 (Poor)</v>
      </c>
      <c r="K739" s="1"/>
    </row>
    <row r="740" spans="1:11" x14ac:dyDescent="0.35">
      <c r="A740" t="s">
        <v>2145</v>
      </c>
      <c r="B740" t="s">
        <v>2146</v>
      </c>
      <c r="C740">
        <v>134573</v>
      </c>
      <c r="D740">
        <v>459</v>
      </c>
      <c r="E740">
        <v>31799</v>
      </c>
      <c r="F740">
        <v>9</v>
      </c>
      <c r="G740">
        <v>50</v>
      </c>
      <c r="H740" t="b">
        <v>0</v>
      </c>
      <c r="I740">
        <f t="shared" si="22"/>
        <v>0</v>
      </c>
      <c r="J740" t="str">
        <f t="shared" si="23"/>
        <v>451-600 (Fair)</v>
      </c>
      <c r="K740" s="1"/>
    </row>
    <row r="741" spans="1:11" x14ac:dyDescent="0.35">
      <c r="A741" t="s">
        <v>843</v>
      </c>
      <c r="B741" t="s">
        <v>844</v>
      </c>
      <c r="C741">
        <v>95909</v>
      </c>
      <c r="D741">
        <v>817</v>
      </c>
      <c r="E741">
        <v>31755</v>
      </c>
      <c r="F741">
        <v>31</v>
      </c>
      <c r="G741">
        <v>85</v>
      </c>
      <c r="H741" t="b">
        <v>1</v>
      </c>
      <c r="I741">
        <f t="shared" si="22"/>
        <v>1</v>
      </c>
      <c r="J741" t="str">
        <f t="shared" si="23"/>
        <v>751-850 (Excellent)</v>
      </c>
      <c r="K741" s="1"/>
    </row>
    <row r="742" spans="1:11" x14ac:dyDescent="0.35">
      <c r="A742" t="s">
        <v>329</v>
      </c>
      <c r="B742" t="s">
        <v>330</v>
      </c>
      <c r="C742">
        <v>106622</v>
      </c>
      <c r="D742">
        <v>616</v>
      </c>
      <c r="E742">
        <v>31737</v>
      </c>
      <c r="F742">
        <v>12</v>
      </c>
      <c r="G742">
        <v>65</v>
      </c>
      <c r="H742" t="b">
        <v>1</v>
      </c>
      <c r="I742">
        <f t="shared" si="22"/>
        <v>1</v>
      </c>
      <c r="J742" t="str">
        <f t="shared" si="23"/>
        <v>601-750 (Good)</v>
      </c>
      <c r="K742" s="1"/>
    </row>
    <row r="743" spans="1:11" x14ac:dyDescent="0.35">
      <c r="A743" t="s">
        <v>1086</v>
      </c>
      <c r="B743" t="s">
        <v>1087</v>
      </c>
      <c r="C743">
        <v>102309</v>
      </c>
      <c r="D743">
        <v>381</v>
      </c>
      <c r="E743">
        <v>31674</v>
      </c>
      <c r="F743">
        <v>40</v>
      </c>
      <c r="G743">
        <v>50</v>
      </c>
      <c r="H743" t="b">
        <v>0</v>
      </c>
      <c r="I743">
        <f t="shared" si="22"/>
        <v>0</v>
      </c>
      <c r="J743" t="str">
        <f t="shared" si="23"/>
        <v>300-450 (Poor)</v>
      </c>
      <c r="K743" s="1"/>
    </row>
    <row r="744" spans="1:11" x14ac:dyDescent="0.35">
      <c r="A744" t="s">
        <v>450</v>
      </c>
      <c r="B744" t="s">
        <v>451</v>
      </c>
      <c r="C744">
        <v>69117</v>
      </c>
      <c r="D744">
        <v>816</v>
      </c>
      <c r="E744">
        <v>31672</v>
      </c>
      <c r="F744">
        <v>17</v>
      </c>
      <c r="G744">
        <v>75</v>
      </c>
      <c r="H744" t="b">
        <v>1</v>
      </c>
      <c r="I744">
        <f t="shared" si="22"/>
        <v>1</v>
      </c>
      <c r="J744" t="str">
        <f t="shared" si="23"/>
        <v>751-850 (Excellent)</v>
      </c>
      <c r="K744" s="1"/>
    </row>
    <row r="745" spans="1:11" x14ac:dyDescent="0.35">
      <c r="A745" t="s">
        <v>2325</v>
      </c>
      <c r="B745" t="s">
        <v>1574</v>
      </c>
      <c r="C745">
        <v>121411</v>
      </c>
      <c r="D745">
        <v>442</v>
      </c>
      <c r="E745">
        <v>31664</v>
      </c>
      <c r="F745">
        <v>29</v>
      </c>
      <c r="G745">
        <v>50</v>
      </c>
      <c r="H745" t="b">
        <v>0</v>
      </c>
      <c r="I745">
        <f t="shared" si="22"/>
        <v>0</v>
      </c>
      <c r="J745" t="str">
        <f t="shared" si="23"/>
        <v>300-450 (Poor)</v>
      </c>
      <c r="K745" s="1"/>
    </row>
    <row r="746" spans="1:11" x14ac:dyDescent="0.35">
      <c r="A746" t="s">
        <v>1039</v>
      </c>
      <c r="B746" t="s">
        <v>1040</v>
      </c>
      <c r="C746">
        <v>113130</v>
      </c>
      <c r="D746">
        <v>787</v>
      </c>
      <c r="E746">
        <v>31617</v>
      </c>
      <c r="F746">
        <v>34</v>
      </c>
      <c r="G746">
        <v>85</v>
      </c>
      <c r="H746" t="b">
        <v>1</v>
      </c>
      <c r="I746">
        <f t="shared" si="22"/>
        <v>1</v>
      </c>
      <c r="J746" t="str">
        <f t="shared" si="23"/>
        <v>751-850 (Excellent)</v>
      </c>
      <c r="K746" s="1"/>
    </row>
    <row r="747" spans="1:11" x14ac:dyDescent="0.35">
      <c r="A747" t="s">
        <v>1760</v>
      </c>
      <c r="B747" t="s">
        <v>1761</v>
      </c>
      <c r="C747">
        <v>81116</v>
      </c>
      <c r="D747">
        <v>535</v>
      </c>
      <c r="E747">
        <v>31574</v>
      </c>
      <c r="F747">
        <v>39</v>
      </c>
      <c r="G747">
        <v>45</v>
      </c>
      <c r="H747" t="b">
        <v>0</v>
      </c>
      <c r="I747">
        <f t="shared" si="22"/>
        <v>0</v>
      </c>
      <c r="J747" t="str">
        <f t="shared" si="23"/>
        <v>451-600 (Fair)</v>
      </c>
      <c r="K747" s="1"/>
    </row>
    <row r="748" spans="1:11" x14ac:dyDescent="0.35">
      <c r="A748" t="s">
        <v>2394</v>
      </c>
      <c r="B748" t="s">
        <v>2395</v>
      </c>
      <c r="C748">
        <v>45525</v>
      </c>
      <c r="D748">
        <v>309</v>
      </c>
      <c r="E748">
        <v>31568</v>
      </c>
      <c r="F748">
        <v>2</v>
      </c>
      <c r="G748">
        <v>15</v>
      </c>
      <c r="H748" t="b">
        <v>0</v>
      </c>
      <c r="I748">
        <f t="shared" si="22"/>
        <v>0</v>
      </c>
      <c r="J748" t="str">
        <f t="shared" si="23"/>
        <v>300-450 (Poor)</v>
      </c>
      <c r="K748" s="1"/>
    </row>
    <row r="749" spans="1:11" x14ac:dyDescent="0.35">
      <c r="A749" t="s">
        <v>2217</v>
      </c>
      <c r="B749" t="s">
        <v>2218</v>
      </c>
      <c r="C749">
        <v>106225</v>
      </c>
      <c r="D749">
        <v>518</v>
      </c>
      <c r="E749">
        <v>31498</v>
      </c>
      <c r="F749">
        <v>36</v>
      </c>
      <c r="G749">
        <v>50</v>
      </c>
      <c r="H749" t="b">
        <v>0</v>
      </c>
      <c r="I749">
        <f t="shared" si="22"/>
        <v>0</v>
      </c>
      <c r="J749" t="str">
        <f t="shared" si="23"/>
        <v>451-600 (Fair)</v>
      </c>
      <c r="K749" s="1"/>
    </row>
    <row r="750" spans="1:11" x14ac:dyDescent="0.35">
      <c r="A750" t="s">
        <v>1131</v>
      </c>
      <c r="B750" t="s">
        <v>1132</v>
      </c>
      <c r="C750">
        <v>147831</v>
      </c>
      <c r="D750">
        <v>354</v>
      </c>
      <c r="E750">
        <v>31471</v>
      </c>
      <c r="F750">
        <v>0</v>
      </c>
      <c r="G750">
        <v>40</v>
      </c>
      <c r="H750" t="b">
        <v>0</v>
      </c>
      <c r="I750">
        <f t="shared" si="22"/>
        <v>0</v>
      </c>
      <c r="J750" t="str">
        <f t="shared" si="23"/>
        <v>300-450 (Poor)</v>
      </c>
      <c r="K750" s="1"/>
    </row>
    <row r="751" spans="1:11" x14ac:dyDescent="0.35">
      <c r="A751" t="s">
        <v>1270</v>
      </c>
      <c r="B751" t="s">
        <v>937</v>
      </c>
      <c r="C751">
        <v>114080</v>
      </c>
      <c r="D751">
        <v>586</v>
      </c>
      <c r="E751">
        <v>31470</v>
      </c>
      <c r="F751">
        <v>33</v>
      </c>
      <c r="G751">
        <v>65</v>
      </c>
      <c r="H751" t="b">
        <v>1</v>
      </c>
      <c r="I751">
        <f t="shared" si="22"/>
        <v>1</v>
      </c>
      <c r="J751" t="str">
        <f t="shared" si="23"/>
        <v>451-600 (Fair)</v>
      </c>
      <c r="K751" s="1"/>
    </row>
    <row r="752" spans="1:11" x14ac:dyDescent="0.35">
      <c r="A752" t="s">
        <v>3897</v>
      </c>
      <c r="B752" t="s">
        <v>3898</v>
      </c>
      <c r="C752">
        <v>41188</v>
      </c>
      <c r="D752">
        <v>482</v>
      </c>
      <c r="E752">
        <v>31397</v>
      </c>
      <c r="F752">
        <v>6</v>
      </c>
      <c r="G752">
        <v>20</v>
      </c>
      <c r="H752" t="b">
        <v>0</v>
      </c>
      <c r="I752">
        <f t="shared" si="22"/>
        <v>0</v>
      </c>
      <c r="J752" t="str">
        <f t="shared" si="23"/>
        <v>451-600 (Fair)</v>
      </c>
      <c r="K752" s="1"/>
    </row>
    <row r="753" spans="1:11" x14ac:dyDescent="0.35">
      <c r="A753" t="s">
        <v>793</v>
      </c>
      <c r="B753" t="s">
        <v>794</v>
      </c>
      <c r="C753">
        <v>89638</v>
      </c>
      <c r="D753">
        <v>601</v>
      </c>
      <c r="E753">
        <v>31393</v>
      </c>
      <c r="F753">
        <v>7</v>
      </c>
      <c r="G753">
        <v>55</v>
      </c>
      <c r="H753" t="b">
        <v>0</v>
      </c>
      <c r="I753">
        <f t="shared" si="22"/>
        <v>0</v>
      </c>
      <c r="J753" t="str">
        <f t="shared" si="23"/>
        <v>601-750 (Good)</v>
      </c>
      <c r="K753" s="1"/>
    </row>
    <row r="754" spans="1:11" x14ac:dyDescent="0.35">
      <c r="A754" t="s">
        <v>2007</v>
      </c>
      <c r="B754" t="s">
        <v>2008</v>
      </c>
      <c r="C754">
        <v>141449</v>
      </c>
      <c r="D754">
        <v>336</v>
      </c>
      <c r="E754">
        <v>31346</v>
      </c>
      <c r="F754">
        <v>39</v>
      </c>
      <c r="G754">
        <v>55</v>
      </c>
      <c r="H754" t="b">
        <v>0</v>
      </c>
      <c r="I754">
        <f t="shared" si="22"/>
        <v>0</v>
      </c>
      <c r="J754" t="str">
        <f t="shared" si="23"/>
        <v>300-450 (Poor)</v>
      </c>
      <c r="K754" s="1"/>
    </row>
    <row r="755" spans="1:11" x14ac:dyDescent="0.35">
      <c r="A755" t="s">
        <v>494</v>
      </c>
      <c r="B755" t="s">
        <v>495</v>
      </c>
      <c r="C755">
        <v>135745</v>
      </c>
      <c r="D755">
        <v>447</v>
      </c>
      <c r="E755">
        <v>31344</v>
      </c>
      <c r="F755">
        <v>3</v>
      </c>
      <c r="G755">
        <v>45</v>
      </c>
      <c r="H755" t="b">
        <v>0</v>
      </c>
      <c r="I755">
        <f t="shared" si="22"/>
        <v>0</v>
      </c>
      <c r="J755" t="str">
        <f t="shared" si="23"/>
        <v>300-450 (Poor)</v>
      </c>
      <c r="K755" s="1"/>
    </row>
    <row r="756" spans="1:11" x14ac:dyDescent="0.35">
      <c r="A756" t="s">
        <v>2512</v>
      </c>
      <c r="B756" t="s">
        <v>2513</v>
      </c>
      <c r="C756">
        <v>111927</v>
      </c>
      <c r="D756">
        <v>783</v>
      </c>
      <c r="E756">
        <v>31335</v>
      </c>
      <c r="F756">
        <v>13</v>
      </c>
      <c r="G756">
        <v>85</v>
      </c>
      <c r="H756" t="b">
        <v>1</v>
      </c>
      <c r="I756">
        <f t="shared" si="22"/>
        <v>1</v>
      </c>
      <c r="J756" t="str">
        <f t="shared" si="23"/>
        <v>751-850 (Excellent)</v>
      </c>
      <c r="K756" s="1"/>
    </row>
    <row r="757" spans="1:11" x14ac:dyDescent="0.35">
      <c r="A757" t="s">
        <v>3256</v>
      </c>
      <c r="B757" t="s">
        <v>3257</v>
      </c>
      <c r="C757">
        <v>149356</v>
      </c>
      <c r="D757">
        <v>366</v>
      </c>
      <c r="E757">
        <v>31299</v>
      </c>
      <c r="F757">
        <v>38</v>
      </c>
      <c r="G757">
        <v>55</v>
      </c>
      <c r="H757" t="b">
        <v>0</v>
      </c>
      <c r="I757">
        <f t="shared" si="22"/>
        <v>0</v>
      </c>
      <c r="J757" t="str">
        <f t="shared" si="23"/>
        <v>300-450 (Poor)</v>
      </c>
      <c r="K757" s="1"/>
    </row>
    <row r="758" spans="1:11" x14ac:dyDescent="0.35">
      <c r="A758" t="s">
        <v>2651</v>
      </c>
      <c r="B758" t="s">
        <v>2652</v>
      </c>
      <c r="C758">
        <v>136724</v>
      </c>
      <c r="D758">
        <v>550</v>
      </c>
      <c r="E758">
        <v>31291</v>
      </c>
      <c r="F758">
        <v>4</v>
      </c>
      <c r="G758">
        <v>45</v>
      </c>
      <c r="H758" t="b">
        <v>0</v>
      </c>
      <c r="I758">
        <f t="shared" si="22"/>
        <v>0</v>
      </c>
      <c r="J758" t="str">
        <f t="shared" si="23"/>
        <v>451-600 (Fair)</v>
      </c>
      <c r="K758" s="1"/>
    </row>
    <row r="759" spans="1:11" x14ac:dyDescent="0.35">
      <c r="A759" t="s">
        <v>2225</v>
      </c>
      <c r="B759" t="s">
        <v>2226</v>
      </c>
      <c r="C759">
        <v>99588</v>
      </c>
      <c r="D759">
        <v>304</v>
      </c>
      <c r="E759">
        <v>31262</v>
      </c>
      <c r="F759">
        <v>18</v>
      </c>
      <c r="G759">
        <v>45</v>
      </c>
      <c r="H759" t="b">
        <v>0</v>
      </c>
      <c r="I759">
        <f t="shared" si="22"/>
        <v>0</v>
      </c>
      <c r="J759" t="str">
        <f t="shared" si="23"/>
        <v>300-450 (Poor)</v>
      </c>
      <c r="K759" s="1"/>
    </row>
    <row r="760" spans="1:11" x14ac:dyDescent="0.35">
      <c r="A760" t="s">
        <v>3770</v>
      </c>
      <c r="B760" t="s">
        <v>3771</v>
      </c>
      <c r="C760">
        <v>85872</v>
      </c>
      <c r="D760">
        <v>710</v>
      </c>
      <c r="E760">
        <v>31259</v>
      </c>
      <c r="F760">
        <v>35</v>
      </c>
      <c r="G760">
        <v>70</v>
      </c>
      <c r="H760" t="b">
        <v>1</v>
      </c>
      <c r="I760">
        <f t="shared" si="22"/>
        <v>1</v>
      </c>
      <c r="J760" t="str">
        <f t="shared" si="23"/>
        <v>601-750 (Good)</v>
      </c>
      <c r="K760" s="1"/>
    </row>
    <row r="761" spans="1:11" x14ac:dyDescent="0.35">
      <c r="A761" t="s">
        <v>201</v>
      </c>
      <c r="B761" t="s">
        <v>202</v>
      </c>
      <c r="C761">
        <v>113320</v>
      </c>
      <c r="D761">
        <v>416</v>
      </c>
      <c r="E761">
        <v>31241</v>
      </c>
      <c r="F761">
        <v>7</v>
      </c>
      <c r="G761">
        <v>45</v>
      </c>
      <c r="H761" t="b">
        <v>0</v>
      </c>
      <c r="I761">
        <f t="shared" si="22"/>
        <v>0</v>
      </c>
      <c r="J761" t="str">
        <f t="shared" si="23"/>
        <v>300-450 (Poor)</v>
      </c>
      <c r="K761" s="1"/>
    </row>
    <row r="762" spans="1:11" x14ac:dyDescent="0.35">
      <c r="A762" t="s">
        <v>1833</v>
      </c>
      <c r="B762" t="s">
        <v>1834</v>
      </c>
      <c r="C762">
        <v>116900</v>
      </c>
      <c r="D762">
        <v>796</v>
      </c>
      <c r="E762">
        <v>31235</v>
      </c>
      <c r="F762">
        <v>4</v>
      </c>
      <c r="G762">
        <v>75</v>
      </c>
      <c r="H762" t="b">
        <v>1</v>
      </c>
      <c r="I762">
        <f t="shared" si="22"/>
        <v>1</v>
      </c>
      <c r="J762" t="str">
        <f t="shared" si="23"/>
        <v>751-850 (Excellent)</v>
      </c>
      <c r="K762" s="1"/>
    </row>
    <row r="763" spans="1:11" x14ac:dyDescent="0.35">
      <c r="A763" t="s">
        <v>3262</v>
      </c>
      <c r="B763" t="s">
        <v>3263</v>
      </c>
      <c r="C763">
        <v>95107</v>
      </c>
      <c r="D763">
        <v>546</v>
      </c>
      <c r="E763">
        <v>31230</v>
      </c>
      <c r="F763">
        <v>9</v>
      </c>
      <c r="G763">
        <v>40</v>
      </c>
      <c r="H763" t="b">
        <v>0</v>
      </c>
      <c r="I763">
        <f t="shared" si="22"/>
        <v>0</v>
      </c>
      <c r="J763" t="str">
        <f t="shared" si="23"/>
        <v>451-600 (Fair)</v>
      </c>
      <c r="K763" s="1"/>
    </row>
    <row r="764" spans="1:11" x14ac:dyDescent="0.35">
      <c r="A764" t="s">
        <v>3876</v>
      </c>
      <c r="B764" t="s">
        <v>3877</v>
      </c>
      <c r="C764">
        <v>85936</v>
      </c>
      <c r="D764">
        <v>420</v>
      </c>
      <c r="E764">
        <v>31183</v>
      </c>
      <c r="F764">
        <v>31</v>
      </c>
      <c r="G764">
        <v>45</v>
      </c>
      <c r="H764" t="b">
        <v>0</v>
      </c>
      <c r="I764">
        <f t="shared" si="22"/>
        <v>0</v>
      </c>
      <c r="J764" t="str">
        <f t="shared" si="23"/>
        <v>300-450 (Poor)</v>
      </c>
      <c r="K764" s="1"/>
    </row>
    <row r="765" spans="1:11" x14ac:dyDescent="0.35">
      <c r="A765" t="s">
        <v>2851</v>
      </c>
      <c r="B765" t="s">
        <v>2852</v>
      </c>
      <c r="C765">
        <v>143249</v>
      </c>
      <c r="D765">
        <v>354</v>
      </c>
      <c r="E765">
        <v>31162</v>
      </c>
      <c r="F765">
        <v>39</v>
      </c>
      <c r="G765">
        <v>55</v>
      </c>
      <c r="H765" t="b">
        <v>0</v>
      </c>
      <c r="I765">
        <f t="shared" si="22"/>
        <v>0</v>
      </c>
      <c r="J765" t="str">
        <f t="shared" si="23"/>
        <v>300-450 (Poor)</v>
      </c>
      <c r="K765" s="1"/>
    </row>
    <row r="766" spans="1:11" x14ac:dyDescent="0.35">
      <c r="A766" t="s">
        <v>3348</v>
      </c>
      <c r="B766" t="s">
        <v>3349</v>
      </c>
      <c r="C766">
        <v>56318</v>
      </c>
      <c r="D766">
        <v>361</v>
      </c>
      <c r="E766">
        <v>31064</v>
      </c>
      <c r="F766">
        <v>33</v>
      </c>
      <c r="G766">
        <v>35</v>
      </c>
      <c r="H766" t="b">
        <v>0</v>
      </c>
      <c r="I766">
        <f t="shared" si="22"/>
        <v>0</v>
      </c>
      <c r="J766" t="str">
        <f t="shared" si="23"/>
        <v>300-450 (Poor)</v>
      </c>
      <c r="K766" s="1"/>
    </row>
    <row r="767" spans="1:11" x14ac:dyDescent="0.35">
      <c r="A767" t="s">
        <v>1324</v>
      </c>
      <c r="B767" t="s">
        <v>1325</v>
      </c>
      <c r="C767">
        <v>105574</v>
      </c>
      <c r="D767">
        <v>835</v>
      </c>
      <c r="E767">
        <v>31039</v>
      </c>
      <c r="F767">
        <v>34</v>
      </c>
      <c r="G767">
        <v>90</v>
      </c>
      <c r="H767" t="b">
        <v>1</v>
      </c>
      <c r="I767">
        <f t="shared" si="22"/>
        <v>1</v>
      </c>
      <c r="J767" t="str">
        <f t="shared" si="23"/>
        <v>751-850 (Excellent)</v>
      </c>
      <c r="K767" s="1"/>
    </row>
    <row r="768" spans="1:11" x14ac:dyDescent="0.35">
      <c r="A768" t="s">
        <v>263</v>
      </c>
      <c r="B768" t="s">
        <v>264</v>
      </c>
      <c r="C768">
        <v>131711</v>
      </c>
      <c r="D768">
        <v>608</v>
      </c>
      <c r="E768">
        <v>31018</v>
      </c>
      <c r="F768">
        <v>1</v>
      </c>
      <c r="G768">
        <v>55</v>
      </c>
      <c r="H768" t="b">
        <v>0</v>
      </c>
      <c r="I768">
        <f t="shared" si="22"/>
        <v>0</v>
      </c>
      <c r="J768" t="str">
        <f t="shared" si="23"/>
        <v>601-750 (Good)</v>
      </c>
      <c r="K768" s="1"/>
    </row>
    <row r="769" spans="1:11" x14ac:dyDescent="0.35">
      <c r="A769" t="s">
        <v>1392</v>
      </c>
      <c r="B769" t="s">
        <v>1393</v>
      </c>
      <c r="C769">
        <v>82743</v>
      </c>
      <c r="D769">
        <v>755</v>
      </c>
      <c r="E769">
        <v>31015</v>
      </c>
      <c r="F769">
        <v>19</v>
      </c>
      <c r="G769">
        <v>80</v>
      </c>
      <c r="H769" t="b">
        <v>1</v>
      </c>
      <c r="I769">
        <f t="shared" si="22"/>
        <v>1</v>
      </c>
      <c r="J769" t="str">
        <f t="shared" si="23"/>
        <v>751-850 (Excellent)</v>
      </c>
      <c r="K769" s="1"/>
    </row>
    <row r="770" spans="1:11" x14ac:dyDescent="0.35">
      <c r="A770" t="s">
        <v>1573</v>
      </c>
      <c r="B770" t="s">
        <v>1574</v>
      </c>
      <c r="C770">
        <v>53053</v>
      </c>
      <c r="D770">
        <v>796</v>
      </c>
      <c r="E770">
        <v>30999</v>
      </c>
      <c r="F770">
        <v>31</v>
      </c>
      <c r="G770">
        <v>70</v>
      </c>
      <c r="H770" t="b">
        <v>1</v>
      </c>
      <c r="I770">
        <f t="shared" si="22"/>
        <v>1</v>
      </c>
      <c r="J770" t="str">
        <f t="shared" si="23"/>
        <v>751-850 (Excellent)</v>
      </c>
      <c r="K770" s="1"/>
    </row>
    <row r="771" spans="1:11" x14ac:dyDescent="0.35">
      <c r="A771" t="s">
        <v>619</v>
      </c>
      <c r="B771" t="s">
        <v>620</v>
      </c>
      <c r="C771">
        <v>142674</v>
      </c>
      <c r="D771">
        <v>751</v>
      </c>
      <c r="E771">
        <v>30918</v>
      </c>
      <c r="F771">
        <v>0</v>
      </c>
      <c r="G771">
        <v>75</v>
      </c>
      <c r="H771" t="b">
        <v>1</v>
      </c>
      <c r="I771">
        <f t="shared" si="22"/>
        <v>1</v>
      </c>
      <c r="J771" t="str">
        <f t="shared" si="23"/>
        <v>751-850 (Excellent)</v>
      </c>
      <c r="K771" s="1"/>
    </row>
    <row r="772" spans="1:11" x14ac:dyDescent="0.35">
      <c r="A772" t="s">
        <v>2418</v>
      </c>
      <c r="B772" t="s">
        <v>2419</v>
      </c>
      <c r="C772">
        <v>89049</v>
      </c>
      <c r="D772">
        <v>536</v>
      </c>
      <c r="E772">
        <v>30872</v>
      </c>
      <c r="F772">
        <v>20</v>
      </c>
      <c r="G772">
        <v>45</v>
      </c>
      <c r="H772" t="b">
        <v>0</v>
      </c>
      <c r="I772">
        <f t="shared" ref="I772:I835" si="24">--H772</f>
        <v>0</v>
      </c>
      <c r="J772" t="str">
        <f t="shared" ref="J772:J835" si="25">IF(D772&gt;750, "751-850 (Excellent)", IF(D772&gt;600, "601-750 (Good)", IF(D772&gt;450, "451-600 (Fair)", "300-450 (Poor)")))</f>
        <v>451-600 (Fair)</v>
      </c>
      <c r="K772" s="1"/>
    </row>
    <row r="773" spans="1:11" x14ac:dyDescent="0.35">
      <c r="A773" t="s">
        <v>115</v>
      </c>
      <c r="B773" t="s">
        <v>116</v>
      </c>
      <c r="C773">
        <v>74118</v>
      </c>
      <c r="D773">
        <v>374</v>
      </c>
      <c r="E773">
        <v>30846</v>
      </c>
      <c r="F773">
        <v>26</v>
      </c>
      <c r="G773">
        <v>35</v>
      </c>
      <c r="H773" t="b">
        <v>0</v>
      </c>
      <c r="I773">
        <f t="shared" si="24"/>
        <v>0</v>
      </c>
      <c r="J773" t="str">
        <f t="shared" si="25"/>
        <v>300-450 (Poor)</v>
      </c>
      <c r="K773" s="1"/>
    </row>
    <row r="774" spans="1:11" x14ac:dyDescent="0.35">
      <c r="A774" t="s">
        <v>3278</v>
      </c>
      <c r="B774" t="s">
        <v>3279</v>
      </c>
      <c r="C774">
        <v>135110</v>
      </c>
      <c r="D774">
        <v>340</v>
      </c>
      <c r="E774">
        <v>30815</v>
      </c>
      <c r="F774">
        <v>37</v>
      </c>
      <c r="G774">
        <v>55</v>
      </c>
      <c r="H774" t="b">
        <v>0</v>
      </c>
      <c r="I774">
        <f t="shared" si="24"/>
        <v>0</v>
      </c>
      <c r="J774" t="str">
        <f t="shared" si="25"/>
        <v>300-450 (Poor)</v>
      </c>
      <c r="K774" s="1"/>
    </row>
    <row r="775" spans="1:11" x14ac:dyDescent="0.35">
      <c r="A775" t="s">
        <v>1370</v>
      </c>
      <c r="B775" t="s">
        <v>1371</v>
      </c>
      <c r="C775">
        <v>116951</v>
      </c>
      <c r="D775">
        <v>324</v>
      </c>
      <c r="E775">
        <v>30808</v>
      </c>
      <c r="F775">
        <v>29</v>
      </c>
      <c r="G775">
        <v>50</v>
      </c>
      <c r="H775" t="b">
        <v>0</v>
      </c>
      <c r="I775">
        <f t="shared" si="24"/>
        <v>0</v>
      </c>
      <c r="J775" t="str">
        <f t="shared" si="25"/>
        <v>300-450 (Poor)</v>
      </c>
      <c r="K775" s="1"/>
    </row>
    <row r="776" spans="1:11" x14ac:dyDescent="0.35">
      <c r="A776" t="s">
        <v>2878</v>
      </c>
      <c r="B776" t="s">
        <v>2879</v>
      </c>
      <c r="C776">
        <v>125164</v>
      </c>
      <c r="D776">
        <v>645</v>
      </c>
      <c r="E776">
        <v>30797</v>
      </c>
      <c r="F776">
        <v>35</v>
      </c>
      <c r="G776">
        <v>70</v>
      </c>
      <c r="H776" t="b">
        <v>1</v>
      </c>
      <c r="I776">
        <f t="shared" si="24"/>
        <v>1</v>
      </c>
      <c r="J776" t="str">
        <f t="shared" si="25"/>
        <v>601-750 (Good)</v>
      </c>
      <c r="K776" s="1"/>
    </row>
    <row r="777" spans="1:11" x14ac:dyDescent="0.35">
      <c r="A777" t="s">
        <v>267</v>
      </c>
      <c r="B777" t="s">
        <v>268</v>
      </c>
      <c r="C777">
        <v>60021</v>
      </c>
      <c r="D777">
        <v>601</v>
      </c>
      <c r="E777">
        <v>30734</v>
      </c>
      <c r="F777">
        <v>32</v>
      </c>
      <c r="G777">
        <v>50</v>
      </c>
      <c r="H777" t="b">
        <v>0</v>
      </c>
      <c r="I777">
        <f t="shared" si="24"/>
        <v>0</v>
      </c>
      <c r="J777" t="str">
        <f t="shared" si="25"/>
        <v>601-750 (Good)</v>
      </c>
      <c r="K777" s="1"/>
    </row>
    <row r="778" spans="1:11" x14ac:dyDescent="0.35">
      <c r="A778" t="s">
        <v>283</v>
      </c>
      <c r="B778" t="s">
        <v>284</v>
      </c>
      <c r="C778">
        <v>57653</v>
      </c>
      <c r="D778">
        <v>729</v>
      </c>
      <c r="E778">
        <v>30730</v>
      </c>
      <c r="F778">
        <v>21</v>
      </c>
      <c r="G778">
        <v>60</v>
      </c>
      <c r="H778" t="b">
        <v>1</v>
      </c>
      <c r="I778">
        <f t="shared" si="24"/>
        <v>1</v>
      </c>
      <c r="J778" t="str">
        <f t="shared" si="25"/>
        <v>601-750 (Good)</v>
      </c>
      <c r="K778" s="1"/>
    </row>
    <row r="779" spans="1:11" x14ac:dyDescent="0.35">
      <c r="A779" t="s">
        <v>1745</v>
      </c>
      <c r="B779" t="s">
        <v>1746</v>
      </c>
      <c r="C779">
        <v>130348</v>
      </c>
      <c r="D779">
        <v>310</v>
      </c>
      <c r="E779">
        <v>30714</v>
      </c>
      <c r="F779">
        <v>24</v>
      </c>
      <c r="G779">
        <v>55</v>
      </c>
      <c r="H779" t="b">
        <v>0</v>
      </c>
      <c r="I779">
        <f t="shared" si="24"/>
        <v>0</v>
      </c>
      <c r="J779" t="str">
        <f t="shared" si="25"/>
        <v>300-450 (Poor)</v>
      </c>
      <c r="K779" s="1"/>
    </row>
    <row r="780" spans="1:11" x14ac:dyDescent="0.35">
      <c r="A780" t="s">
        <v>877</v>
      </c>
      <c r="B780" t="s">
        <v>878</v>
      </c>
      <c r="C780">
        <v>146691</v>
      </c>
      <c r="D780">
        <v>667</v>
      </c>
      <c r="E780">
        <v>30661</v>
      </c>
      <c r="F780">
        <v>6</v>
      </c>
      <c r="G780">
        <v>65</v>
      </c>
      <c r="H780" t="b">
        <v>1</v>
      </c>
      <c r="I780">
        <f t="shared" si="24"/>
        <v>1</v>
      </c>
      <c r="J780" t="str">
        <f t="shared" si="25"/>
        <v>601-750 (Good)</v>
      </c>
      <c r="K780" s="1"/>
    </row>
    <row r="781" spans="1:11" x14ac:dyDescent="0.35">
      <c r="A781" t="s">
        <v>1366</v>
      </c>
      <c r="B781" t="s">
        <v>1367</v>
      </c>
      <c r="C781">
        <v>111678</v>
      </c>
      <c r="D781">
        <v>400</v>
      </c>
      <c r="E781">
        <v>30651</v>
      </c>
      <c r="F781">
        <v>31</v>
      </c>
      <c r="G781">
        <v>50</v>
      </c>
      <c r="H781" t="b">
        <v>0</v>
      </c>
      <c r="I781">
        <f t="shared" si="24"/>
        <v>0</v>
      </c>
      <c r="J781" t="str">
        <f t="shared" si="25"/>
        <v>300-450 (Poor)</v>
      </c>
      <c r="K781" s="1"/>
    </row>
    <row r="782" spans="1:11" x14ac:dyDescent="0.35">
      <c r="A782" t="s">
        <v>3378</v>
      </c>
      <c r="B782" t="s">
        <v>3379</v>
      </c>
      <c r="C782">
        <v>135708</v>
      </c>
      <c r="D782">
        <v>665</v>
      </c>
      <c r="E782">
        <v>30645</v>
      </c>
      <c r="F782">
        <v>35</v>
      </c>
      <c r="G782">
        <v>70</v>
      </c>
      <c r="H782" t="b">
        <v>1</v>
      </c>
      <c r="I782">
        <f t="shared" si="24"/>
        <v>1</v>
      </c>
      <c r="J782" t="str">
        <f t="shared" si="25"/>
        <v>601-750 (Good)</v>
      </c>
      <c r="K782" s="1"/>
    </row>
    <row r="783" spans="1:11" x14ac:dyDescent="0.35">
      <c r="A783" t="s">
        <v>2778</v>
      </c>
      <c r="B783" t="s">
        <v>2779</v>
      </c>
      <c r="C783">
        <v>123032</v>
      </c>
      <c r="D783">
        <v>715</v>
      </c>
      <c r="E783">
        <v>30629</v>
      </c>
      <c r="F783">
        <v>13</v>
      </c>
      <c r="G783">
        <v>80</v>
      </c>
      <c r="H783" t="b">
        <v>1</v>
      </c>
      <c r="I783">
        <f t="shared" si="24"/>
        <v>1</v>
      </c>
      <c r="J783" t="str">
        <f t="shared" si="25"/>
        <v>601-750 (Good)</v>
      </c>
      <c r="K783" s="1"/>
    </row>
    <row r="784" spans="1:11" x14ac:dyDescent="0.35">
      <c r="A784" t="s">
        <v>376</v>
      </c>
      <c r="B784" t="s">
        <v>377</v>
      </c>
      <c r="C784">
        <v>80019</v>
      </c>
      <c r="D784">
        <v>375</v>
      </c>
      <c r="E784">
        <v>30625</v>
      </c>
      <c r="F784">
        <v>11</v>
      </c>
      <c r="G784">
        <v>45</v>
      </c>
      <c r="H784" t="b">
        <v>0</v>
      </c>
      <c r="I784">
        <f t="shared" si="24"/>
        <v>0</v>
      </c>
      <c r="J784" t="str">
        <f t="shared" si="25"/>
        <v>300-450 (Poor)</v>
      </c>
      <c r="K784" s="1"/>
    </row>
    <row r="785" spans="1:11" x14ac:dyDescent="0.35">
      <c r="A785" t="s">
        <v>307</v>
      </c>
      <c r="B785" t="s">
        <v>308</v>
      </c>
      <c r="C785">
        <v>114259</v>
      </c>
      <c r="D785">
        <v>772</v>
      </c>
      <c r="E785">
        <v>30616</v>
      </c>
      <c r="F785">
        <v>2</v>
      </c>
      <c r="G785">
        <v>75</v>
      </c>
      <c r="H785" t="b">
        <v>1</v>
      </c>
      <c r="I785">
        <f t="shared" si="24"/>
        <v>1</v>
      </c>
      <c r="J785" t="str">
        <f t="shared" si="25"/>
        <v>751-850 (Excellent)</v>
      </c>
      <c r="K785" s="1"/>
    </row>
    <row r="786" spans="1:11" x14ac:dyDescent="0.35">
      <c r="A786" t="s">
        <v>859</v>
      </c>
      <c r="B786" t="s">
        <v>860</v>
      </c>
      <c r="C786">
        <v>54356</v>
      </c>
      <c r="D786">
        <v>426</v>
      </c>
      <c r="E786">
        <v>30524</v>
      </c>
      <c r="F786">
        <v>29</v>
      </c>
      <c r="G786">
        <v>35</v>
      </c>
      <c r="H786" t="b">
        <v>0</v>
      </c>
      <c r="I786">
        <f t="shared" si="24"/>
        <v>0</v>
      </c>
      <c r="J786" t="str">
        <f t="shared" si="25"/>
        <v>300-450 (Poor)</v>
      </c>
      <c r="K786" s="1"/>
    </row>
    <row r="787" spans="1:11" x14ac:dyDescent="0.35">
      <c r="A787" t="s">
        <v>1031</v>
      </c>
      <c r="B787" t="s">
        <v>1032</v>
      </c>
      <c r="C787">
        <v>124058</v>
      </c>
      <c r="D787">
        <v>833</v>
      </c>
      <c r="E787">
        <v>30510</v>
      </c>
      <c r="F787">
        <v>26</v>
      </c>
      <c r="G787">
        <v>95</v>
      </c>
      <c r="H787" t="b">
        <v>1</v>
      </c>
      <c r="I787">
        <f t="shared" si="24"/>
        <v>1</v>
      </c>
      <c r="J787" t="str">
        <f t="shared" si="25"/>
        <v>751-850 (Excellent)</v>
      </c>
      <c r="K787" s="1"/>
    </row>
    <row r="788" spans="1:11" x14ac:dyDescent="0.35">
      <c r="A788" t="s">
        <v>1021</v>
      </c>
      <c r="B788" t="s">
        <v>1022</v>
      </c>
      <c r="C788">
        <v>50374</v>
      </c>
      <c r="D788">
        <v>398</v>
      </c>
      <c r="E788">
        <v>30481</v>
      </c>
      <c r="F788">
        <v>21</v>
      </c>
      <c r="G788">
        <v>35</v>
      </c>
      <c r="H788" t="b">
        <v>0</v>
      </c>
      <c r="I788">
        <f t="shared" si="24"/>
        <v>0</v>
      </c>
      <c r="J788" t="str">
        <f t="shared" si="25"/>
        <v>300-450 (Poor)</v>
      </c>
      <c r="K788" s="1"/>
    </row>
    <row r="789" spans="1:11" x14ac:dyDescent="0.35">
      <c r="A789" t="s">
        <v>1613</v>
      </c>
      <c r="B789" t="s">
        <v>1614</v>
      </c>
      <c r="C789">
        <v>88008</v>
      </c>
      <c r="D789">
        <v>320</v>
      </c>
      <c r="E789">
        <v>30459</v>
      </c>
      <c r="F789">
        <v>37</v>
      </c>
      <c r="G789">
        <v>45</v>
      </c>
      <c r="H789" t="b">
        <v>0</v>
      </c>
      <c r="I789">
        <f t="shared" si="24"/>
        <v>0</v>
      </c>
      <c r="J789" t="str">
        <f t="shared" si="25"/>
        <v>300-450 (Poor)</v>
      </c>
      <c r="K789" s="1"/>
    </row>
    <row r="790" spans="1:11" x14ac:dyDescent="0.35">
      <c r="A790" t="s">
        <v>3016</v>
      </c>
      <c r="B790" t="s">
        <v>3017</v>
      </c>
      <c r="C790">
        <v>120794</v>
      </c>
      <c r="D790">
        <v>368</v>
      </c>
      <c r="E790">
        <v>30457</v>
      </c>
      <c r="F790">
        <v>24</v>
      </c>
      <c r="G790">
        <v>50</v>
      </c>
      <c r="H790" t="b">
        <v>0</v>
      </c>
      <c r="I790">
        <f t="shared" si="24"/>
        <v>0</v>
      </c>
      <c r="J790" t="str">
        <f t="shared" si="25"/>
        <v>300-450 (Poor)</v>
      </c>
      <c r="K790" s="1"/>
    </row>
    <row r="791" spans="1:11" x14ac:dyDescent="0.35">
      <c r="A791" t="s">
        <v>335</v>
      </c>
      <c r="B791" t="s">
        <v>336</v>
      </c>
      <c r="C791">
        <v>106484</v>
      </c>
      <c r="D791">
        <v>579</v>
      </c>
      <c r="E791">
        <v>30446</v>
      </c>
      <c r="F791">
        <v>32</v>
      </c>
      <c r="G791">
        <v>50</v>
      </c>
      <c r="H791" t="b">
        <v>0</v>
      </c>
      <c r="I791">
        <f t="shared" si="24"/>
        <v>0</v>
      </c>
      <c r="J791" t="str">
        <f t="shared" si="25"/>
        <v>451-600 (Fair)</v>
      </c>
      <c r="K791" s="1"/>
    </row>
    <row r="792" spans="1:11" x14ac:dyDescent="0.35">
      <c r="A792" t="s">
        <v>3282</v>
      </c>
      <c r="B792" t="s">
        <v>2556</v>
      </c>
      <c r="C792">
        <v>58705</v>
      </c>
      <c r="D792">
        <v>528</v>
      </c>
      <c r="E792">
        <v>30443</v>
      </c>
      <c r="F792">
        <v>16</v>
      </c>
      <c r="G792">
        <v>35</v>
      </c>
      <c r="H792" t="b">
        <v>0</v>
      </c>
      <c r="I792">
        <f t="shared" si="24"/>
        <v>0</v>
      </c>
      <c r="J792" t="str">
        <f t="shared" si="25"/>
        <v>451-600 (Fair)</v>
      </c>
      <c r="K792" s="1"/>
    </row>
    <row r="793" spans="1:11" x14ac:dyDescent="0.35">
      <c r="A793" t="s">
        <v>3881</v>
      </c>
      <c r="B793" t="s">
        <v>3882</v>
      </c>
      <c r="C793">
        <v>63408</v>
      </c>
      <c r="D793">
        <v>376</v>
      </c>
      <c r="E793">
        <v>30443</v>
      </c>
      <c r="F793">
        <v>3</v>
      </c>
      <c r="G793">
        <v>25</v>
      </c>
      <c r="H793" t="b">
        <v>0</v>
      </c>
      <c r="I793">
        <f t="shared" si="24"/>
        <v>0</v>
      </c>
      <c r="J793" t="str">
        <f t="shared" si="25"/>
        <v>300-450 (Poor)</v>
      </c>
      <c r="K793" s="1"/>
    </row>
    <row r="794" spans="1:11" x14ac:dyDescent="0.35">
      <c r="A794" t="s">
        <v>341</v>
      </c>
      <c r="B794" t="s">
        <v>342</v>
      </c>
      <c r="C794">
        <v>58746</v>
      </c>
      <c r="D794">
        <v>780</v>
      </c>
      <c r="E794">
        <v>30399</v>
      </c>
      <c r="F794">
        <v>39</v>
      </c>
      <c r="G794">
        <v>70</v>
      </c>
      <c r="H794" t="b">
        <v>1</v>
      </c>
      <c r="I794">
        <f t="shared" si="24"/>
        <v>1</v>
      </c>
      <c r="J794" t="str">
        <f t="shared" si="25"/>
        <v>751-850 (Excellent)</v>
      </c>
      <c r="K794" s="1"/>
    </row>
    <row r="795" spans="1:11" x14ac:dyDescent="0.35">
      <c r="A795" t="s">
        <v>3039</v>
      </c>
      <c r="B795" t="s">
        <v>3040</v>
      </c>
      <c r="C795">
        <v>112155</v>
      </c>
      <c r="D795">
        <v>512</v>
      </c>
      <c r="E795">
        <v>30392</v>
      </c>
      <c r="F795">
        <v>10</v>
      </c>
      <c r="G795">
        <v>50</v>
      </c>
      <c r="H795" t="b">
        <v>0</v>
      </c>
      <c r="I795">
        <f t="shared" si="24"/>
        <v>0</v>
      </c>
      <c r="J795" t="str">
        <f t="shared" si="25"/>
        <v>451-600 (Fair)</v>
      </c>
      <c r="K795" s="1"/>
    </row>
    <row r="796" spans="1:11" x14ac:dyDescent="0.35">
      <c r="A796" t="s">
        <v>261</v>
      </c>
      <c r="B796" t="s">
        <v>262</v>
      </c>
      <c r="C796">
        <v>130704</v>
      </c>
      <c r="D796">
        <v>787</v>
      </c>
      <c r="E796">
        <v>30378</v>
      </c>
      <c r="F796">
        <v>23</v>
      </c>
      <c r="G796">
        <v>90</v>
      </c>
      <c r="H796" t="b">
        <v>1</v>
      </c>
      <c r="I796">
        <f t="shared" si="24"/>
        <v>1</v>
      </c>
      <c r="J796" t="str">
        <f t="shared" si="25"/>
        <v>751-850 (Excellent)</v>
      </c>
      <c r="K796" s="1"/>
    </row>
    <row r="797" spans="1:11" x14ac:dyDescent="0.35">
      <c r="A797" t="s">
        <v>159</v>
      </c>
      <c r="B797" t="s">
        <v>160</v>
      </c>
      <c r="C797">
        <v>111070</v>
      </c>
      <c r="D797">
        <v>802</v>
      </c>
      <c r="E797">
        <v>30371</v>
      </c>
      <c r="F797">
        <v>1</v>
      </c>
      <c r="G797">
        <v>75</v>
      </c>
      <c r="H797" t="b">
        <v>1</v>
      </c>
      <c r="I797">
        <f t="shared" si="24"/>
        <v>1</v>
      </c>
      <c r="J797" t="str">
        <f t="shared" si="25"/>
        <v>751-850 (Excellent)</v>
      </c>
      <c r="K797" s="1"/>
    </row>
    <row r="798" spans="1:11" x14ac:dyDescent="0.35">
      <c r="A798" t="s">
        <v>3641</v>
      </c>
      <c r="B798" t="s">
        <v>3642</v>
      </c>
      <c r="C798">
        <v>106858</v>
      </c>
      <c r="D798">
        <v>484</v>
      </c>
      <c r="E798">
        <v>30283</v>
      </c>
      <c r="F798">
        <v>38</v>
      </c>
      <c r="G798">
        <v>50</v>
      </c>
      <c r="H798" t="b">
        <v>0</v>
      </c>
      <c r="I798">
        <f t="shared" si="24"/>
        <v>0</v>
      </c>
      <c r="J798" t="str">
        <f t="shared" si="25"/>
        <v>451-600 (Fair)</v>
      </c>
      <c r="K798" s="1"/>
    </row>
    <row r="799" spans="1:11" x14ac:dyDescent="0.35">
      <c r="A799" t="s">
        <v>484</v>
      </c>
      <c r="B799" t="s">
        <v>485</v>
      </c>
      <c r="C799">
        <v>32552</v>
      </c>
      <c r="D799">
        <v>334</v>
      </c>
      <c r="E799">
        <v>30257</v>
      </c>
      <c r="F799">
        <v>38</v>
      </c>
      <c r="G799">
        <v>25</v>
      </c>
      <c r="H799" t="b">
        <v>0</v>
      </c>
      <c r="I799">
        <f t="shared" si="24"/>
        <v>0</v>
      </c>
      <c r="J799" t="str">
        <f t="shared" si="25"/>
        <v>300-450 (Poor)</v>
      </c>
      <c r="K799" s="1"/>
    </row>
    <row r="800" spans="1:11" x14ac:dyDescent="0.35">
      <c r="A800" t="s">
        <v>3804</v>
      </c>
      <c r="B800" t="s">
        <v>3805</v>
      </c>
      <c r="C800">
        <v>106724</v>
      </c>
      <c r="D800">
        <v>579</v>
      </c>
      <c r="E800">
        <v>30236</v>
      </c>
      <c r="F800">
        <v>8</v>
      </c>
      <c r="G800">
        <v>45</v>
      </c>
      <c r="H800" t="b">
        <v>0</v>
      </c>
      <c r="I800">
        <f t="shared" si="24"/>
        <v>0</v>
      </c>
      <c r="J800" t="str">
        <f t="shared" si="25"/>
        <v>451-600 (Fair)</v>
      </c>
      <c r="K800" s="1"/>
    </row>
    <row r="801" spans="1:11" x14ac:dyDescent="0.35">
      <c r="A801" t="s">
        <v>1308</v>
      </c>
      <c r="B801" t="s">
        <v>1309</v>
      </c>
      <c r="C801">
        <v>133078</v>
      </c>
      <c r="D801">
        <v>556</v>
      </c>
      <c r="E801">
        <v>30221</v>
      </c>
      <c r="F801">
        <v>1</v>
      </c>
      <c r="G801">
        <v>40</v>
      </c>
      <c r="H801" t="b">
        <v>0</v>
      </c>
      <c r="I801">
        <f t="shared" si="24"/>
        <v>0</v>
      </c>
      <c r="J801" t="str">
        <f t="shared" si="25"/>
        <v>451-600 (Fair)</v>
      </c>
      <c r="K801" s="1"/>
    </row>
    <row r="802" spans="1:11" x14ac:dyDescent="0.35">
      <c r="A802" t="s">
        <v>1246</v>
      </c>
      <c r="B802" t="s">
        <v>1247</v>
      </c>
      <c r="C802">
        <v>59219</v>
      </c>
      <c r="D802">
        <v>399</v>
      </c>
      <c r="E802">
        <v>30177</v>
      </c>
      <c r="F802">
        <v>11</v>
      </c>
      <c r="G802">
        <v>35</v>
      </c>
      <c r="H802" t="b">
        <v>0</v>
      </c>
      <c r="I802">
        <f t="shared" si="24"/>
        <v>0</v>
      </c>
      <c r="J802" t="str">
        <f t="shared" si="25"/>
        <v>300-450 (Poor)</v>
      </c>
      <c r="K802" s="1"/>
    </row>
    <row r="803" spans="1:11" x14ac:dyDescent="0.35">
      <c r="A803" t="s">
        <v>2931</v>
      </c>
      <c r="B803" t="s">
        <v>2932</v>
      </c>
      <c r="C803">
        <v>131652</v>
      </c>
      <c r="D803">
        <v>763</v>
      </c>
      <c r="E803">
        <v>30090</v>
      </c>
      <c r="F803">
        <v>24</v>
      </c>
      <c r="G803">
        <v>90</v>
      </c>
      <c r="H803" t="b">
        <v>1</v>
      </c>
      <c r="I803">
        <f t="shared" si="24"/>
        <v>1</v>
      </c>
      <c r="J803" t="str">
        <f t="shared" si="25"/>
        <v>751-850 (Excellent)</v>
      </c>
      <c r="K803" s="1"/>
    </row>
    <row r="804" spans="1:11" x14ac:dyDescent="0.35">
      <c r="A804" t="s">
        <v>1037</v>
      </c>
      <c r="B804" t="s">
        <v>1038</v>
      </c>
      <c r="C804">
        <v>120111</v>
      </c>
      <c r="D804">
        <v>590</v>
      </c>
      <c r="E804">
        <v>30042</v>
      </c>
      <c r="F804">
        <v>40</v>
      </c>
      <c r="G804">
        <v>65</v>
      </c>
      <c r="H804" t="b">
        <v>1</v>
      </c>
      <c r="I804">
        <f t="shared" si="24"/>
        <v>1</v>
      </c>
      <c r="J804" t="str">
        <f t="shared" si="25"/>
        <v>451-600 (Fair)</v>
      </c>
      <c r="K804" s="1"/>
    </row>
    <row r="805" spans="1:11" x14ac:dyDescent="0.35">
      <c r="A805" t="s">
        <v>3789</v>
      </c>
      <c r="B805" t="s">
        <v>3790</v>
      </c>
      <c r="C805">
        <v>72219</v>
      </c>
      <c r="D805">
        <v>801</v>
      </c>
      <c r="E805">
        <v>30038</v>
      </c>
      <c r="F805">
        <v>21</v>
      </c>
      <c r="G805">
        <v>75</v>
      </c>
      <c r="H805" t="b">
        <v>1</v>
      </c>
      <c r="I805">
        <f t="shared" si="24"/>
        <v>1</v>
      </c>
      <c r="J805" t="str">
        <f t="shared" si="25"/>
        <v>751-850 (Excellent)</v>
      </c>
      <c r="K805" s="1"/>
    </row>
    <row r="806" spans="1:11" x14ac:dyDescent="0.35">
      <c r="A806" t="s">
        <v>175</v>
      </c>
      <c r="B806" t="s">
        <v>176</v>
      </c>
      <c r="C806">
        <v>36006</v>
      </c>
      <c r="D806">
        <v>761</v>
      </c>
      <c r="E806">
        <v>30014</v>
      </c>
      <c r="F806">
        <v>19</v>
      </c>
      <c r="G806">
        <v>60</v>
      </c>
      <c r="H806" t="b">
        <v>1</v>
      </c>
      <c r="I806">
        <f t="shared" si="24"/>
        <v>1</v>
      </c>
      <c r="J806" t="str">
        <f t="shared" si="25"/>
        <v>751-850 (Excellent)</v>
      </c>
      <c r="K806" s="1"/>
    </row>
    <row r="807" spans="1:11" x14ac:dyDescent="0.35">
      <c r="A807" t="s">
        <v>3514</v>
      </c>
      <c r="B807" t="s">
        <v>3515</v>
      </c>
      <c r="C807">
        <v>80940</v>
      </c>
      <c r="D807">
        <v>751</v>
      </c>
      <c r="E807">
        <v>30012</v>
      </c>
      <c r="F807">
        <v>38</v>
      </c>
      <c r="G807">
        <v>80</v>
      </c>
      <c r="H807" t="b">
        <v>1</v>
      </c>
      <c r="I807">
        <f t="shared" si="24"/>
        <v>1</v>
      </c>
      <c r="J807" t="str">
        <f t="shared" si="25"/>
        <v>751-850 (Excellent)</v>
      </c>
      <c r="K807" s="1"/>
    </row>
    <row r="808" spans="1:11" x14ac:dyDescent="0.35">
      <c r="A808" t="s">
        <v>121</v>
      </c>
      <c r="B808" t="s">
        <v>122</v>
      </c>
      <c r="C808">
        <v>79797</v>
      </c>
      <c r="D808">
        <v>624</v>
      </c>
      <c r="E808">
        <v>30004</v>
      </c>
      <c r="F808">
        <v>39</v>
      </c>
      <c r="G808">
        <v>60</v>
      </c>
      <c r="H808" t="b">
        <v>1</v>
      </c>
      <c r="I808">
        <f t="shared" si="24"/>
        <v>1</v>
      </c>
      <c r="J808" t="str">
        <f t="shared" si="25"/>
        <v>601-750 (Good)</v>
      </c>
      <c r="K808" s="1"/>
    </row>
    <row r="809" spans="1:11" x14ac:dyDescent="0.35">
      <c r="A809" t="s">
        <v>436</v>
      </c>
      <c r="B809" t="s">
        <v>437</v>
      </c>
      <c r="C809">
        <v>129871</v>
      </c>
      <c r="D809">
        <v>654</v>
      </c>
      <c r="E809">
        <v>29991</v>
      </c>
      <c r="F809">
        <v>16</v>
      </c>
      <c r="G809">
        <v>70</v>
      </c>
      <c r="H809" t="b">
        <v>1</v>
      </c>
      <c r="I809">
        <f t="shared" si="24"/>
        <v>1</v>
      </c>
      <c r="J809" t="str">
        <f t="shared" si="25"/>
        <v>601-750 (Good)</v>
      </c>
      <c r="K809" s="1"/>
    </row>
    <row r="810" spans="1:11" x14ac:dyDescent="0.35">
      <c r="A810" t="s">
        <v>763</v>
      </c>
      <c r="B810" t="s">
        <v>764</v>
      </c>
      <c r="C810">
        <v>83269</v>
      </c>
      <c r="D810">
        <v>492</v>
      </c>
      <c r="E810">
        <v>29948</v>
      </c>
      <c r="F810">
        <v>13</v>
      </c>
      <c r="G810">
        <v>45</v>
      </c>
      <c r="H810" t="b">
        <v>0</v>
      </c>
      <c r="I810">
        <f t="shared" si="24"/>
        <v>0</v>
      </c>
      <c r="J810" t="str">
        <f t="shared" si="25"/>
        <v>451-600 (Fair)</v>
      </c>
      <c r="K810" s="1"/>
    </row>
    <row r="811" spans="1:11" x14ac:dyDescent="0.35">
      <c r="A811" t="s">
        <v>1872</v>
      </c>
      <c r="B811" t="s">
        <v>1873</v>
      </c>
      <c r="C811">
        <v>66471</v>
      </c>
      <c r="D811">
        <v>782</v>
      </c>
      <c r="E811">
        <v>29926</v>
      </c>
      <c r="F811">
        <v>27</v>
      </c>
      <c r="G811">
        <v>70</v>
      </c>
      <c r="H811" t="b">
        <v>1</v>
      </c>
      <c r="I811">
        <f t="shared" si="24"/>
        <v>1</v>
      </c>
      <c r="J811" t="str">
        <f t="shared" si="25"/>
        <v>751-850 (Excellent)</v>
      </c>
      <c r="K811" s="1"/>
    </row>
    <row r="812" spans="1:11" x14ac:dyDescent="0.35">
      <c r="A812" t="s">
        <v>1901</v>
      </c>
      <c r="B812" t="s">
        <v>1902</v>
      </c>
      <c r="C812">
        <v>38993</v>
      </c>
      <c r="D812">
        <v>718</v>
      </c>
      <c r="E812">
        <v>29883</v>
      </c>
      <c r="F812">
        <v>40</v>
      </c>
      <c r="G812">
        <v>50</v>
      </c>
      <c r="H812" t="b">
        <v>0</v>
      </c>
      <c r="I812">
        <f t="shared" si="24"/>
        <v>0</v>
      </c>
      <c r="J812" t="str">
        <f t="shared" si="25"/>
        <v>601-750 (Good)</v>
      </c>
      <c r="K812" s="1"/>
    </row>
    <row r="813" spans="1:11" x14ac:dyDescent="0.35">
      <c r="A813" t="s">
        <v>2874</v>
      </c>
      <c r="B813" t="s">
        <v>2875</v>
      </c>
      <c r="C813">
        <v>30336</v>
      </c>
      <c r="D813">
        <v>481</v>
      </c>
      <c r="E813">
        <v>29881</v>
      </c>
      <c r="F813">
        <v>11</v>
      </c>
      <c r="G813">
        <v>25</v>
      </c>
      <c r="H813" t="b">
        <v>0</v>
      </c>
      <c r="I813">
        <f t="shared" si="24"/>
        <v>0</v>
      </c>
      <c r="J813" t="str">
        <f t="shared" si="25"/>
        <v>451-600 (Fair)</v>
      </c>
      <c r="K813" s="1"/>
    </row>
    <row r="814" spans="1:11" x14ac:dyDescent="0.35">
      <c r="A814" t="s">
        <v>1304</v>
      </c>
      <c r="B814" t="s">
        <v>1305</v>
      </c>
      <c r="C814">
        <v>75309</v>
      </c>
      <c r="D814">
        <v>482</v>
      </c>
      <c r="E814">
        <v>29873</v>
      </c>
      <c r="F814">
        <v>4</v>
      </c>
      <c r="G814">
        <v>35</v>
      </c>
      <c r="H814" t="b">
        <v>0</v>
      </c>
      <c r="I814">
        <f t="shared" si="24"/>
        <v>0</v>
      </c>
      <c r="J814" t="str">
        <f t="shared" si="25"/>
        <v>451-600 (Fair)</v>
      </c>
      <c r="K814" s="1"/>
    </row>
    <row r="815" spans="1:11" x14ac:dyDescent="0.35">
      <c r="A815" t="s">
        <v>2711</v>
      </c>
      <c r="B815" t="s">
        <v>2712</v>
      </c>
      <c r="C815">
        <v>143365</v>
      </c>
      <c r="D815">
        <v>815</v>
      </c>
      <c r="E815">
        <v>29842</v>
      </c>
      <c r="F815">
        <v>17</v>
      </c>
      <c r="G815">
        <v>95</v>
      </c>
      <c r="H815" t="b">
        <v>1</v>
      </c>
      <c r="I815">
        <f t="shared" si="24"/>
        <v>1</v>
      </c>
      <c r="J815" t="str">
        <f t="shared" si="25"/>
        <v>751-850 (Excellent)</v>
      </c>
      <c r="K815" s="1"/>
    </row>
    <row r="816" spans="1:11" x14ac:dyDescent="0.35">
      <c r="A816" t="s">
        <v>305</v>
      </c>
      <c r="B816" t="s">
        <v>306</v>
      </c>
      <c r="C816">
        <v>149871</v>
      </c>
      <c r="D816">
        <v>454</v>
      </c>
      <c r="E816">
        <v>29820</v>
      </c>
      <c r="F816">
        <v>4</v>
      </c>
      <c r="G816">
        <v>45</v>
      </c>
      <c r="H816" t="b">
        <v>0</v>
      </c>
      <c r="I816">
        <f t="shared" si="24"/>
        <v>0</v>
      </c>
      <c r="J816" t="str">
        <f t="shared" si="25"/>
        <v>451-600 (Fair)</v>
      </c>
      <c r="K816" s="1"/>
    </row>
    <row r="817" spans="1:11" x14ac:dyDescent="0.35">
      <c r="A817" t="s">
        <v>2741</v>
      </c>
      <c r="B817" t="s">
        <v>302</v>
      </c>
      <c r="C817">
        <v>111973</v>
      </c>
      <c r="D817">
        <v>440</v>
      </c>
      <c r="E817">
        <v>29812</v>
      </c>
      <c r="F817">
        <v>7</v>
      </c>
      <c r="G817">
        <v>45</v>
      </c>
      <c r="H817" t="b">
        <v>0</v>
      </c>
      <c r="I817">
        <f t="shared" si="24"/>
        <v>0</v>
      </c>
      <c r="J817" t="str">
        <f t="shared" si="25"/>
        <v>300-450 (Poor)</v>
      </c>
      <c r="K817" s="1"/>
    </row>
    <row r="818" spans="1:11" x14ac:dyDescent="0.35">
      <c r="A818" t="s">
        <v>1640</v>
      </c>
      <c r="B818" t="s">
        <v>1641</v>
      </c>
      <c r="C818">
        <v>142917</v>
      </c>
      <c r="D818">
        <v>506</v>
      </c>
      <c r="E818">
        <v>29777</v>
      </c>
      <c r="F818">
        <v>26</v>
      </c>
      <c r="G818">
        <v>55</v>
      </c>
      <c r="H818" t="b">
        <v>0</v>
      </c>
      <c r="I818">
        <f t="shared" si="24"/>
        <v>0</v>
      </c>
      <c r="J818" t="str">
        <f t="shared" si="25"/>
        <v>451-600 (Fair)</v>
      </c>
      <c r="K818" s="1"/>
    </row>
    <row r="819" spans="1:11" x14ac:dyDescent="0.35">
      <c r="A819" t="s">
        <v>3407</v>
      </c>
      <c r="B819" t="s">
        <v>3408</v>
      </c>
      <c r="C819">
        <v>118395</v>
      </c>
      <c r="D819">
        <v>400</v>
      </c>
      <c r="E819">
        <v>29768</v>
      </c>
      <c r="F819">
        <v>34</v>
      </c>
      <c r="G819">
        <v>50</v>
      </c>
      <c r="H819" t="b">
        <v>0</v>
      </c>
      <c r="I819">
        <f t="shared" si="24"/>
        <v>0</v>
      </c>
      <c r="J819" t="str">
        <f t="shared" si="25"/>
        <v>300-450 (Poor)</v>
      </c>
      <c r="K819" s="1"/>
    </row>
    <row r="820" spans="1:11" x14ac:dyDescent="0.35">
      <c r="A820" t="s">
        <v>2842</v>
      </c>
      <c r="B820" t="s">
        <v>2843</v>
      </c>
      <c r="C820">
        <v>108561</v>
      </c>
      <c r="D820">
        <v>794</v>
      </c>
      <c r="E820">
        <v>29767</v>
      </c>
      <c r="F820">
        <v>26</v>
      </c>
      <c r="G820">
        <v>85</v>
      </c>
      <c r="H820" t="b">
        <v>1</v>
      </c>
      <c r="I820">
        <f t="shared" si="24"/>
        <v>1</v>
      </c>
      <c r="J820" t="str">
        <f t="shared" si="25"/>
        <v>751-850 (Excellent)</v>
      </c>
      <c r="K820" s="1"/>
    </row>
    <row r="821" spans="1:11" x14ac:dyDescent="0.35">
      <c r="A821" t="s">
        <v>1535</v>
      </c>
      <c r="B821" t="s">
        <v>1536</v>
      </c>
      <c r="C821">
        <v>55485</v>
      </c>
      <c r="D821">
        <v>464</v>
      </c>
      <c r="E821">
        <v>29760</v>
      </c>
      <c r="F821">
        <v>40</v>
      </c>
      <c r="G821">
        <v>35</v>
      </c>
      <c r="H821" t="b">
        <v>0</v>
      </c>
      <c r="I821">
        <f t="shared" si="24"/>
        <v>0</v>
      </c>
      <c r="J821" t="str">
        <f t="shared" si="25"/>
        <v>451-600 (Fair)</v>
      </c>
      <c r="K821" s="1"/>
    </row>
    <row r="822" spans="1:11" x14ac:dyDescent="0.35">
      <c r="A822" t="s">
        <v>51</v>
      </c>
      <c r="B822" t="s">
        <v>52</v>
      </c>
      <c r="C822">
        <v>34165</v>
      </c>
      <c r="D822">
        <v>682</v>
      </c>
      <c r="E822">
        <v>29711</v>
      </c>
      <c r="F822">
        <v>33</v>
      </c>
      <c r="G822">
        <v>50</v>
      </c>
      <c r="H822" t="b">
        <v>0</v>
      </c>
      <c r="I822">
        <f t="shared" si="24"/>
        <v>0</v>
      </c>
      <c r="J822" t="str">
        <f t="shared" si="25"/>
        <v>601-750 (Good)</v>
      </c>
      <c r="K822" s="1"/>
    </row>
    <row r="823" spans="1:11" x14ac:dyDescent="0.35">
      <c r="A823" t="s">
        <v>3857</v>
      </c>
      <c r="B823" t="s">
        <v>2250</v>
      </c>
      <c r="C823">
        <v>59949</v>
      </c>
      <c r="D823">
        <v>688</v>
      </c>
      <c r="E823">
        <v>29674</v>
      </c>
      <c r="F823">
        <v>4</v>
      </c>
      <c r="G823">
        <v>50</v>
      </c>
      <c r="H823" t="b">
        <v>0</v>
      </c>
      <c r="I823">
        <f t="shared" si="24"/>
        <v>0</v>
      </c>
      <c r="J823" t="str">
        <f t="shared" si="25"/>
        <v>601-750 (Good)</v>
      </c>
      <c r="K823" s="1"/>
    </row>
    <row r="824" spans="1:11" x14ac:dyDescent="0.35">
      <c r="A824" t="s">
        <v>297</v>
      </c>
      <c r="B824" t="s">
        <v>298</v>
      </c>
      <c r="C824">
        <v>115909</v>
      </c>
      <c r="D824">
        <v>390</v>
      </c>
      <c r="E824">
        <v>29620</v>
      </c>
      <c r="F824">
        <v>6</v>
      </c>
      <c r="G824">
        <v>45</v>
      </c>
      <c r="H824" t="b">
        <v>0</v>
      </c>
      <c r="I824">
        <f t="shared" si="24"/>
        <v>0</v>
      </c>
      <c r="J824" t="str">
        <f t="shared" si="25"/>
        <v>300-450 (Poor)</v>
      </c>
      <c r="K824" s="1"/>
    </row>
    <row r="825" spans="1:11" x14ac:dyDescent="0.35">
      <c r="A825" t="s">
        <v>151</v>
      </c>
      <c r="B825" t="s">
        <v>152</v>
      </c>
      <c r="C825">
        <v>102357</v>
      </c>
      <c r="D825">
        <v>456</v>
      </c>
      <c r="E825">
        <v>29540</v>
      </c>
      <c r="F825">
        <v>11</v>
      </c>
      <c r="G825">
        <v>50</v>
      </c>
      <c r="H825" t="b">
        <v>0</v>
      </c>
      <c r="I825">
        <f t="shared" si="24"/>
        <v>0</v>
      </c>
      <c r="J825" t="str">
        <f t="shared" si="25"/>
        <v>451-600 (Fair)</v>
      </c>
      <c r="K825" s="1"/>
    </row>
    <row r="826" spans="1:11" x14ac:dyDescent="0.35">
      <c r="A826" t="s">
        <v>2508</v>
      </c>
      <c r="B826" t="s">
        <v>2509</v>
      </c>
      <c r="C826">
        <v>133262</v>
      </c>
      <c r="D826">
        <v>420</v>
      </c>
      <c r="E826">
        <v>29539</v>
      </c>
      <c r="F826">
        <v>18</v>
      </c>
      <c r="G826">
        <v>55</v>
      </c>
      <c r="H826" t="b">
        <v>0</v>
      </c>
      <c r="I826">
        <f t="shared" si="24"/>
        <v>0</v>
      </c>
      <c r="J826" t="str">
        <f t="shared" si="25"/>
        <v>300-450 (Poor)</v>
      </c>
      <c r="K826" s="1"/>
    </row>
    <row r="827" spans="1:11" x14ac:dyDescent="0.35">
      <c r="A827" t="s">
        <v>3885</v>
      </c>
      <c r="B827" t="s">
        <v>3886</v>
      </c>
      <c r="C827">
        <v>50006</v>
      </c>
      <c r="D827">
        <v>626</v>
      </c>
      <c r="E827">
        <v>29515</v>
      </c>
      <c r="F827">
        <v>32</v>
      </c>
      <c r="G827">
        <v>50</v>
      </c>
      <c r="H827" t="b">
        <v>0</v>
      </c>
      <c r="I827">
        <f t="shared" si="24"/>
        <v>0</v>
      </c>
      <c r="J827" t="str">
        <f t="shared" si="25"/>
        <v>601-750 (Good)</v>
      </c>
      <c r="K827" s="1"/>
    </row>
    <row r="828" spans="1:11" x14ac:dyDescent="0.35">
      <c r="A828" t="s">
        <v>3693</v>
      </c>
      <c r="B828" t="s">
        <v>3694</v>
      </c>
      <c r="C828">
        <v>133544</v>
      </c>
      <c r="D828">
        <v>772</v>
      </c>
      <c r="E828">
        <v>29454</v>
      </c>
      <c r="F828">
        <v>0</v>
      </c>
      <c r="G828">
        <v>75</v>
      </c>
      <c r="H828" t="b">
        <v>1</v>
      </c>
      <c r="I828">
        <f t="shared" si="24"/>
        <v>1</v>
      </c>
      <c r="J828" t="str">
        <f t="shared" si="25"/>
        <v>751-850 (Excellent)</v>
      </c>
      <c r="K828" s="1"/>
    </row>
    <row r="829" spans="1:11" x14ac:dyDescent="0.35">
      <c r="A829" t="s">
        <v>1648</v>
      </c>
      <c r="B829" t="s">
        <v>1649</v>
      </c>
      <c r="C829">
        <v>128536</v>
      </c>
      <c r="D829">
        <v>468</v>
      </c>
      <c r="E829">
        <v>29447</v>
      </c>
      <c r="F829">
        <v>3</v>
      </c>
      <c r="G829">
        <v>45</v>
      </c>
      <c r="H829" t="b">
        <v>0</v>
      </c>
      <c r="I829">
        <f t="shared" si="24"/>
        <v>0</v>
      </c>
      <c r="J829" t="str">
        <f t="shared" si="25"/>
        <v>451-600 (Fair)</v>
      </c>
      <c r="K829" s="1"/>
    </row>
    <row r="830" spans="1:11" x14ac:dyDescent="0.35">
      <c r="A830" t="s">
        <v>1729</v>
      </c>
      <c r="B830" t="s">
        <v>1730</v>
      </c>
      <c r="C830">
        <v>81049</v>
      </c>
      <c r="D830">
        <v>630</v>
      </c>
      <c r="E830">
        <v>29347</v>
      </c>
      <c r="F830">
        <v>26</v>
      </c>
      <c r="G830">
        <v>60</v>
      </c>
      <c r="H830" t="b">
        <v>1</v>
      </c>
      <c r="I830">
        <f t="shared" si="24"/>
        <v>1</v>
      </c>
      <c r="J830" t="str">
        <f t="shared" si="25"/>
        <v>601-750 (Good)</v>
      </c>
      <c r="K830" s="1"/>
    </row>
    <row r="831" spans="1:11" x14ac:dyDescent="0.35">
      <c r="A831" t="s">
        <v>2449</v>
      </c>
      <c r="B831" t="s">
        <v>2450</v>
      </c>
      <c r="C831">
        <v>111987</v>
      </c>
      <c r="D831">
        <v>755</v>
      </c>
      <c r="E831">
        <v>29328</v>
      </c>
      <c r="F831">
        <v>31</v>
      </c>
      <c r="G831">
        <v>85</v>
      </c>
      <c r="H831" t="b">
        <v>1</v>
      </c>
      <c r="I831">
        <f t="shared" si="24"/>
        <v>1</v>
      </c>
      <c r="J831" t="str">
        <f t="shared" si="25"/>
        <v>751-850 (Excellent)</v>
      </c>
      <c r="K831" s="1"/>
    </row>
    <row r="832" spans="1:11" x14ac:dyDescent="0.35">
      <c r="A832" t="s">
        <v>1709</v>
      </c>
      <c r="B832" t="s">
        <v>1710</v>
      </c>
      <c r="C832">
        <v>84377</v>
      </c>
      <c r="D832">
        <v>586</v>
      </c>
      <c r="E832">
        <v>29309</v>
      </c>
      <c r="F832">
        <v>13</v>
      </c>
      <c r="G832">
        <v>60</v>
      </c>
      <c r="H832" t="b">
        <v>1</v>
      </c>
      <c r="I832">
        <f t="shared" si="24"/>
        <v>1</v>
      </c>
      <c r="J832" t="str">
        <f t="shared" si="25"/>
        <v>451-600 (Fair)</v>
      </c>
      <c r="K832" s="1"/>
    </row>
    <row r="833" spans="1:11" x14ac:dyDescent="0.35">
      <c r="A833" t="s">
        <v>3134</v>
      </c>
      <c r="B833" t="s">
        <v>3135</v>
      </c>
      <c r="C833">
        <v>109887</v>
      </c>
      <c r="D833">
        <v>361</v>
      </c>
      <c r="E833">
        <v>29303</v>
      </c>
      <c r="F833">
        <v>2</v>
      </c>
      <c r="G833">
        <v>40</v>
      </c>
      <c r="H833" t="b">
        <v>0</v>
      </c>
      <c r="I833">
        <f t="shared" si="24"/>
        <v>0</v>
      </c>
      <c r="J833" t="str">
        <f t="shared" si="25"/>
        <v>300-450 (Poor)</v>
      </c>
      <c r="K833" s="1"/>
    </row>
    <row r="834" spans="1:11" x14ac:dyDescent="0.35">
      <c r="A834" t="s">
        <v>1256</v>
      </c>
      <c r="B834" t="s">
        <v>1257</v>
      </c>
      <c r="C834">
        <v>73025</v>
      </c>
      <c r="D834">
        <v>540</v>
      </c>
      <c r="E834">
        <v>29292</v>
      </c>
      <c r="F834">
        <v>37</v>
      </c>
      <c r="G834">
        <v>35</v>
      </c>
      <c r="H834" t="b">
        <v>0</v>
      </c>
      <c r="I834">
        <f t="shared" si="24"/>
        <v>0</v>
      </c>
      <c r="J834" t="str">
        <f t="shared" si="25"/>
        <v>451-600 (Fair)</v>
      </c>
      <c r="K834" s="1"/>
    </row>
    <row r="835" spans="1:11" x14ac:dyDescent="0.35">
      <c r="A835" t="s">
        <v>3532</v>
      </c>
      <c r="B835" t="s">
        <v>3533</v>
      </c>
      <c r="C835">
        <v>127290</v>
      </c>
      <c r="D835">
        <v>396</v>
      </c>
      <c r="E835">
        <v>29256</v>
      </c>
      <c r="F835">
        <v>17</v>
      </c>
      <c r="G835">
        <v>55</v>
      </c>
      <c r="H835" t="b">
        <v>0</v>
      </c>
      <c r="I835">
        <f t="shared" si="24"/>
        <v>0</v>
      </c>
      <c r="J835" t="str">
        <f t="shared" si="25"/>
        <v>300-450 (Poor)</v>
      </c>
      <c r="K835" s="1"/>
    </row>
    <row r="836" spans="1:11" x14ac:dyDescent="0.35">
      <c r="A836" t="s">
        <v>408</v>
      </c>
      <c r="B836" t="s">
        <v>409</v>
      </c>
      <c r="C836">
        <v>130741</v>
      </c>
      <c r="D836">
        <v>410</v>
      </c>
      <c r="E836">
        <v>29241</v>
      </c>
      <c r="F836">
        <v>8</v>
      </c>
      <c r="G836">
        <v>50</v>
      </c>
      <c r="H836" t="b">
        <v>0</v>
      </c>
      <c r="I836">
        <f t="shared" ref="I836:I899" si="26">--H836</f>
        <v>0</v>
      </c>
      <c r="J836" t="str">
        <f t="shared" ref="J836:J899" si="27">IF(D836&gt;750, "751-850 (Excellent)", IF(D836&gt;600, "601-750 (Good)", IF(D836&gt;450, "451-600 (Fair)", "300-450 (Poor)")))</f>
        <v>300-450 (Poor)</v>
      </c>
      <c r="K836" s="1"/>
    </row>
    <row r="837" spans="1:11" x14ac:dyDescent="0.35">
      <c r="A837" t="s">
        <v>3367</v>
      </c>
      <c r="B837" t="s">
        <v>3368</v>
      </c>
      <c r="C837">
        <v>138851</v>
      </c>
      <c r="D837">
        <v>533</v>
      </c>
      <c r="E837">
        <v>29234</v>
      </c>
      <c r="F837">
        <v>35</v>
      </c>
      <c r="G837">
        <v>55</v>
      </c>
      <c r="H837" t="b">
        <v>0</v>
      </c>
      <c r="I837">
        <f t="shared" si="26"/>
        <v>0</v>
      </c>
      <c r="J837" t="str">
        <f t="shared" si="27"/>
        <v>451-600 (Fair)</v>
      </c>
      <c r="K837" s="1"/>
    </row>
    <row r="838" spans="1:11" x14ac:dyDescent="0.35">
      <c r="A838" t="s">
        <v>363</v>
      </c>
      <c r="B838" t="s">
        <v>364</v>
      </c>
      <c r="C838">
        <v>50969</v>
      </c>
      <c r="D838">
        <v>380</v>
      </c>
      <c r="E838">
        <v>29220</v>
      </c>
      <c r="F838">
        <v>38</v>
      </c>
      <c r="G838">
        <v>35</v>
      </c>
      <c r="H838" t="b">
        <v>0</v>
      </c>
      <c r="I838">
        <f t="shared" si="26"/>
        <v>0</v>
      </c>
      <c r="J838" t="str">
        <f t="shared" si="27"/>
        <v>300-450 (Poor)</v>
      </c>
      <c r="K838" s="1"/>
    </row>
    <row r="839" spans="1:11" x14ac:dyDescent="0.35">
      <c r="A839" t="s">
        <v>89</v>
      </c>
      <c r="B839" t="s">
        <v>90</v>
      </c>
      <c r="C839">
        <v>136093</v>
      </c>
      <c r="D839">
        <v>451</v>
      </c>
      <c r="E839">
        <v>29166</v>
      </c>
      <c r="F839">
        <v>8</v>
      </c>
      <c r="G839">
        <v>50</v>
      </c>
      <c r="H839" t="b">
        <v>0</v>
      </c>
      <c r="I839">
        <f t="shared" si="26"/>
        <v>0</v>
      </c>
      <c r="J839" t="str">
        <f t="shared" si="27"/>
        <v>451-600 (Fair)</v>
      </c>
      <c r="K839" s="1"/>
    </row>
    <row r="840" spans="1:11" x14ac:dyDescent="0.35">
      <c r="A840" t="s">
        <v>2023</v>
      </c>
      <c r="B840" t="s">
        <v>2024</v>
      </c>
      <c r="C840">
        <v>35383</v>
      </c>
      <c r="D840">
        <v>650</v>
      </c>
      <c r="E840">
        <v>29158</v>
      </c>
      <c r="F840">
        <v>38</v>
      </c>
      <c r="G840">
        <v>40</v>
      </c>
      <c r="H840" t="b">
        <v>0</v>
      </c>
      <c r="I840">
        <f t="shared" si="26"/>
        <v>0</v>
      </c>
      <c r="J840" t="str">
        <f t="shared" si="27"/>
        <v>601-750 (Good)</v>
      </c>
      <c r="K840" s="1"/>
    </row>
    <row r="841" spans="1:11" x14ac:dyDescent="0.35">
      <c r="A841" t="s">
        <v>2166</v>
      </c>
      <c r="B841" t="s">
        <v>2167</v>
      </c>
      <c r="C841">
        <v>97715</v>
      </c>
      <c r="D841">
        <v>769</v>
      </c>
      <c r="E841">
        <v>29074</v>
      </c>
      <c r="F841">
        <v>23</v>
      </c>
      <c r="G841">
        <v>80</v>
      </c>
      <c r="H841" t="b">
        <v>1</v>
      </c>
      <c r="I841">
        <f t="shared" si="26"/>
        <v>1</v>
      </c>
      <c r="J841" t="str">
        <f t="shared" si="27"/>
        <v>751-850 (Excellent)</v>
      </c>
      <c r="K841" s="1"/>
    </row>
    <row r="842" spans="1:11" x14ac:dyDescent="0.35">
      <c r="A842" t="s">
        <v>454</v>
      </c>
      <c r="B842" t="s">
        <v>455</v>
      </c>
      <c r="C842">
        <v>113748</v>
      </c>
      <c r="D842">
        <v>715</v>
      </c>
      <c r="E842">
        <v>29029</v>
      </c>
      <c r="F842">
        <v>32</v>
      </c>
      <c r="G842">
        <v>75</v>
      </c>
      <c r="H842" t="b">
        <v>1</v>
      </c>
      <c r="I842">
        <f t="shared" si="26"/>
        <v>1</v>
      </c>
      <c r="J842" t="str">
        <f t="shared" si="27"/>
        <v>601-750 (Good)</v>
      </c>
      <c r="K842" s="1"/>
    </row>
    <row r="843" spans="1:11" x14ac:dyDescent="0.35">
      <c r="A843" t="s">
        <v>1950</v>
      </c>
      <c r="B843" t="s">
        <v>1951</v>
      </c>
      <c r="C843">
        <v>109415</v>
      </c>
      <c r="D843">
        <v>685</v>
      </c>
      <c r="E843">
        <v>28991</v>
      </c>
      <c r="F843">
        <v>10</v>
      </c>
      <c r="G843">
        <v>75</v>
      </c>
      <c r="H843" t="b">
        <v>1</v>
      </c>
      <c r="I843">
        <f t="shared" si="26"/>
        <v>1</v>
      </c>
      <c r="J843" t="str">
        <f t="shared" si="27"/>
        <v>601-750 (Good)</v>
      </c>
      <c r="K843" s="1"/>
    </row>
    <row r="844" spans="1:11" x14ac:dyDescent="0.35">
      <c r="A844" t="s">
        <v>3229</v>
      </c>
      <c r="B844" t="s">
        <v>563</v>
      </c>
      <c r="C844">
        <v>121655</v>
      </c>
      <c r="D844">
        <v>455</v>
      </c>
      <c r="E844">
        <v>28978</v>
      </c>
      <c r="F844">
        <v>35</v>
      </c>
      <c r="G844">
        <v>55</v>
      </c>
      <c r="H844" t="b">
        <v>0</v>
      </c>
      <c r="I844">
        <f t="shared" si="26"/>
        <v>0</v>
      </c>
      <c r="J844" t="str">
        <f t="shared" si="27"/>
        <v>451-600 (Fair)</v>
      </c>
      <c r="K844" s="1"/>
    </row>
    <row r="845" spans="1:11" x14ac:dyDescent="0.35">
      <c r="A845" t="s">
        <v>3468</v>
      </c>
      <c r="B845" t="s">
        <v>3469</v>
      </c>
      <c r="C845">
        <v>72992</v>
      </c>
      <c r="D845">
        <v>431</v>
      </c>
      <c r="E845">
        <v>28952</v>
      </c>
      <c r="F845">
        <v>1</v>
      </c>
      <c r="G845">
        <v>25</v>
      </c>
      <c r="H845" t="b">
        <v>0</v>
      </c>
      <c r="I845">
        <f t="shared" si="26"/>
        <v>0</v>
      </c>
      <c r="J845" t="str">
        <f t="shared" si="27"/>
        <v>300-450 (Poor)</v>
      </c>
      <c r="K845" s="1"/>
    </row>
    <row r="846" spans="1:11" x14ac:dyDescent="0.35">
      <c r="A846" t="s">
        <v>1142</v>
      </c>
      <c r="B846" t="s">
        <v>497</v>
      </c>
      <c r="C846">
        <v>57535</v>
      </c>
      <c r="D846">
        <v>456</v>
      </c>
      <c r="E846">
        <v>28948</v>
      </c>
      <c r="F846">
        <v>19</v>
      </c>
      <c r="G846">
        <v>35</v>
      </c>
      <c r="H846" t="b">
        <v>0</v>
      </c>
      <c r="I846">
        <f t="shared" si="26"/>
        <v>0</v>
      </c>
      <c r="J846" t="str">
        <f t="shared" si="27"/>
        <v>451-600 (Fair)</v>
      </c>
      <c r="K846" s="1"/>
    </row>
    <row r="847" spans="1:11" x14ac:dyDescent="0.35">
      <c r="A847" t="s">
        <v>3293</v>
      </c>
      <c r="B847" t="s">
        <v>3294</v>
      </c>
      <c r="C847">
        <v>129035</v>
      </c>
      <c r="D847">
        <v>465</v>
      </c>
      <c r="E847">
        <v>28947</v>
      </c>
      <c r="F847">
        <v>13</v>
      </c>
      <c r="G847">
        <v>55</v>
      </c>
      <c r="H847" t="b">
        <v>0</v>
      </c>
      <c r="I847">
        <f t="shared" si="26"/>
        <v>0</v>
      </c>
      <c r="J847" t="str">
        <f t="shared" si="27"/>
        <v>451-600 (Fair)</v>
      </c>
      <c r="K847" s="1"/>
    </row>
    <row r="848" spans="1:11" x14ac:dyDescent="0.35">
      <c r="A848" t="s">
        <v>970</v>
      </c>
      <c r="B848" t="s">
        <v>971</v>
      </c>
      <c r="C848">
        <v>67353</v>
      </c>
      <c r="D848">
        <v>458</v>
      </c>
      <c r="E848">
        <v>28923</v>
      </c>
      <c r="F848">
        <v>37</v>
      </c>
      <c r="G848">
        <v>35</v>
      </c>
      <c r="H848" t="b">
        <v>0</v>
      </c>
      <c r="I848">
        <f t="shared" si="26"/>
        <v>0</v>
      </c>
      <c r="J848" t="str">
        <f t="shared" si="27"/>
        <v>451-600 (Fair)</v>
      </c>
      <c r="K848" s="1"/>
    </row>
    <row r="849" spans="1:11" x14ac:dyDescent="0.35">
      <c r="A849" t="s">
        <v>2504</v>
      </c>
      <c r="B849" t="s">
        <v>2505</v>
      </c>
      <c r="C849">
        <v>60595</v>
      </c>
      <c r="D849">
        <v>407</v>
      </c>
      <c r="E849">
        <v>28898</v>
      </c>
      <c r="F849">
        <v>4</v>
      </c>
      <c r="G849">
        <v>25</v>
      </c>
      <c r="H849" t="b">
        <v>0</v>
      </c>
      <c r="I849">
        <f t="shared" si="26"/>
        <v>0</v>
      </c>
      <c r="J849" t="str">
        <f t="shared" si="27"/>
        <v>300-450 (Poor)</v>
      </c>
      <c r="K849" s="1"/>
    </row>
    <row r="850" spans="1:11" x14ac:dyDescent="0.35">
      <c r="A850" t="s">
        <v>600</v>
      </c>
      <c r="B850" t="s">
        <v>601</v>
      </c>
      <c r="C850">
        <v>58864</v>
      </c>
      <c r="D850">
        <v>523</v>
      </c>
      <c r="E850">
        <v>28862</v>
      </c>
      <c r="F850">
        <v>6</v>
      </c>
      <c r="G850">
        <v>30</v>
      </c>
      <c r="H850" t="b">
        <v>0</v>
      </c>
      <c r="I850">
        <f t="shared" si="26"/>
        <v>0</v>
      </c>
      <c r="J850" t="str">
        <f t="shared" si="27"/>
        <v>451-600 (Fair)</v>
      </c>
      <c r="K850" s="1"/>
    </row>
    <row r="851" spans="1:11" x14ac:dyDescent="0.35">
      <c r="A851" t="s">
        <v>2506</v>
      </c>
      <c r="B851" t="s">
        <v>2507</v>
      </c>
      <c r="C851">
        <v>64675</v>
      </c>
      <c r="D851">
        <v>339</v>
      </c>
      <c r="E851">
        <v>28799</v>
      </c>
      <c r="F851">
        <v>31</v>
      </c>
      <c r="G851">
        <v>35</v>
      </c>
      <c r="H851" t="b">
        <v>0</v>
      </c>
      <c r="I851">
        <f t="shared" si="26"/>
        <v>0</v>
      </c>
      <c r="J851" t="str">
        <f t="shared" si="27"/>
        <v>300-450 (Poor)</v>
      </c>
      <c r="K851" s="1"/>
    </row>
    <row r="852" spans="1:11" x14ac:dyDescent="0.35">
      <c r="A852" t="s">
        <v>1264</v>
      </c>
      <c r="B852" t="s">
        <v>1265</v>
      </c>
      <c r="C852">
        <v>131361</v>
      </c>
      <c r="D852">
        <v>821</v>
      </c>
      <c r="E852">
        <v>28795</v>
      </c>
      <c r="F852">
        <v>35</v>
      </c>
      <c r="G852">
        <v>95</v>
      </c>
      <c r="H852" t="b">
        <v>1</v>
      </c>
      <c r="I852">
        <f t="shared" si="26"/>
        <v>1</v>
      </c>
      <c r="J852" t="str">
        <f t="shared" si="27"/>
        <v>751-850 (Excellent)</v>
      </c>
      <c r="K852" s="1"/>
    </row>
    <row r="853" spans="1:11" x14ac:dyDescent="0.35">
      <c r="A853" t="s">
        <v>777</v>
      </c>
      <c r="B853" t="s">
        <v>778</v>
      </c>
      <c r="C853">
        <v>37685</v>
      </c>
      <c r="D853">
        <v>581</v>
      </c>
      <c r="E853">
        <v>28774</v>
      </c>
      <c r="F853">
        <v>24</v>
      </c>
      <c r="G853">
        <v>40</v>
      </c>
      <c r="H853" t="b">
        <v>0</v>
      </c>
      <c r="I853">
        <f t="shared" si="26"/>
        <v>0</v>
      </c>
      <c r="J853" t="str">
        <f t="shared" si="27"/>
        <v>451-600 (Fair)</v>
      </c>
      <c r="K853" s="1"/>
    </row>
    <row r="854" spans="1:11" x14ac:dyDescent="0.35">
      <c r="A854" t="s">
        <v>2210</v>
      </c>
      <c r="B854" t="s">
        <v>2211</v>
      </c>
      <c r="C854">
        <v>120673</v>
      </c>
      <c r="D854">
        <v>756</v>
      </c>
      <c r="E854">
        <v>28770</v>
      </c>
      <c r="F854">
        <v>38</v>
      </c>
      <c r="G854">
        <v>90</v>
      </c>
      <c r="H854" t="b">
        <v>1</v>
      </c>
      <c r="I854">
        <f t="shared" si="26"/>
        <v>1</v>
      </c>
      <c r="J854" t="str">
        <f t="shared" si="27"/>
        <v>751-850 (Excellent)</v>
      </c>
      <c r="K854" s="1"/>
    </row>
    <row r="855" spans="1:11" x14ac:dyDescent="0.35">
      <c r="A855" t="s">
        <v>645</v>
      </c>
      <c r="B855" t="s">
        <v>646</v>
      </c>
      <c r="C855">
        <v>104847</v>
      </c>
      <c r="D855">
        <v>725</v>
      </c>
      <c r="E855">
        <v>28759</v>
      </c>
      <c r="F855">
        <v>25</v>
      </c>
      <c r="G855">
        <v>75</v>
      </c>
      <c r="H855" t="b">
        <v>1</v>
      </c>
      <c r="I855">
        <f t="shared" si="26"/>
        <v>1</v>
      </c>
      <c r="J855" t="str">
        <f t="shared" si="27"/>
        <v>601-750 (Good)</v>
      </c>
      <c r="K855" s="1"/>
    </row>
    <row r="856" spans="1:11" x14ac:dyDescent="0.35">
      <c r="A856" t="s">
        <v>343</v>
      </c>
      <c r="B856" t="s">
        <v>344</v>
      </c>
      <c r="C856">
        <v>48131</v>
      </c>
      <c r="D856">
        <v>840</v>
      </c>
      <c r="E856">
        <v>28738</v>
      </c>
      <c r="F856">
        <v>7</v>
      </c>
      <c r="G856">
        <v>60</v>
      </c>
      <c r="H856" t="b">
        <v>1</v>
      </c>
      <c r="I856">
        <f t="shared" si="26"/>
        <v>1</v>
      </c>
      <c r="J856" t="str">
        <f t="shared" si="27"/>
        <v>751-850 (Excellent)</v>
      </c>
      <c r="K856" s="1"/>
    </row>
    <row r="857" spans="1:11" x14ac:dyDescent="0.35">
      <c r="A857" t="s">
        <v>67</v>
      </c>
      <c r="B857" t="s">
        <v>68</v>
      </c>
      <c r="C857">
        <v>103563</v>
      </c>
      <c r="D857">
        <v>592</v>
      </c>
      <c r="E857">
        <v>28722</v>
      </c>
      <c r="F857">
        <v>35</v>
      </c>
      <c r="G857">
        <v>65</v>
      </c>
      <c r="H857" t="b">
        <v>1</v>
      </c>
      <c r="I857">
        <f t="shared" si="26"/>
        <v>1</v>
      </c>
      <c r="J857" t="str">
        <f t="shared" si="27"/>
        <v>451-600 (Fair)</v>
      </c>
      <c r="K857" s="1"/>
    </row>
    <row r="858" spans="1:11" x14ac:dyDescent="0.35">
      <c r="A858" t="s">
        <v>2293</v>
      </c>
      <c r="B858" t="s">
        <v>2294</v>
      </c>
      <c r="C858">
        <v>139134</v>
      </c>
      <c r="D858">
        <v>695</v>
      </c>
      <c r="E858">
        <v>28693</v>
      </c>
      <c r="F858">
        <v>25</v>
      </c>
      <c r="G858">
        <v>80</v>
      </c>
      <c r="H858" t="b">
        <v>1</v>
      </c>
      <c r="I858">
        <f t="shared" si="26"/>
        <v>1</v>
      </c>
      <c r="J858" t="str">
        <f t="shared" si="27"/>
        <v>601-750 (Good)</v>
      </c>
      <c r="K858" s="1"/>
    </row>
    <row r="859" spans="1:11" x14ac:dyDescent="0.35">
      <c r="A859" t="s">
        <v>3780</v>
      </c>
      <c r="B859" t="s">
        <v>3781</v>
      </c>
      <c r="C859">
        <v>149236</v>
      </c>
      <c r="D859">
        <v>380</v>
      </c>
      <c r="E859">
        <v>28687</v>
      </c>
      <c r="F859">
        <v>3</v>
      </c>
      <c r="G859">
        <v>45</v>
      </c>
      <c r="H859" t="b">
        <v>0</v>
      </c>
      <c r="I859">
        <f t="shared" si="26"/>
        <v>0</v>
      </c>
      <c r="J859" t="str">
        <f t="shared" si="27"/>
        <v>300-450 (Poor)</v>
      </c>
      <c r="K859" s="1"/>
    </row>
    <row r="860" spans="1:11" x14ac:dyDescent="0.35">
      <c r="A860" t="s">
        <v>873</v>
      </c>
      <c r="B860" t="s">
        <v>874</v>
      </c>
      <c r="C860">
        <v>82923</v>
      </c>
      <c r="D860">
        <v>592</v>
      </c>
      <c r="E860">
        <v>28681</v>
      </c>
      <c r="F860">
        <v>0</v>
      </c>
      <c r="G860">
        <v>45</v>
      </c>
      <c r="H860" t="b">
        <v>0</v>
      </c>
      <c r="I860">
        <f t="shared" si="26"/>
        <v>0</v>
      </c>
      <c r="J860" t="str">
        <f t="shared" si="27"/>
        <v>451-600 (Fair)</v>
      </c>
      <c r="K860" s="1"/>
    </row>
    <row r="861" spans="1:11" x14ac:dyDescent="0.35">
      <c r="A861" t="s">
        <v>1515</v>
      </c>
      <c r="B861" t="s">
        <v>1516</v>
      </c>
      <c r="C861">
        <v>92277</v>
      </c>
      <c r="D861">
        <v>746</v>
      </c>
      <c r="E861">
        <v>28657</v>
      </c>
      <c r="F861">
        <v>2</v>
      </c>
      <c r="G861">
        <v>70</v>
      </c>
      <c r="H861" t="b">
        <v>1</v>
      </c>
      <c r="I861">
        <f t="shared" si="26"/>
        <v>1</v>
      </c>
      <c r="J861" t="str">
        <f t="shared" si="27"/>
        <v>601-750 (Good)</v>
      </c>
      <c r="K861" s="1"/>
    </row>
    <row r="862" spans="1:11" x14ac:dyDescent="0.35">
      <c r="A862" t="s">
        <v>61</v>
      </c>
      <c r="B862" t="s">
        <v>62</v>
      </c>
      <c r="C862">
        <v>96237</v>
      </c>
      <c r="D862">
        <v>443</v>
      </c>
      <c r="E862">
        <v>28648</v>
      </c>
      <c r="F862">
        <v>11</v>
      </c>
      <c r="G862">
        <v>45</v>
      </c>
      <c r="H862" t="b">
        <v>0</v>
      </c>
      <c r="I862">
        <f t="shared" si="26"/>
        <v>0</v>
      </c>
      <c r="J862" t="str">
        <f t="shared" si="27"/>
        <v>300-450 (Poor)</v>
      </c>
      <c r="K862" s="1"/>
    </row>
    <row r="863" spans="1:11" x14ac:dyDescent="0.35">
      <c r="A863" t="s">
        <v>1644</v>
      </c>
      <c r="B863" t="s">
        <v>1645</v>
      </c>
      <c r="C863">
        <v>88991</v>
      </c>
      <c r="D863">
        <v>842</v>
      </c>
      <c r="E863">
        <v>28637</v>
      </c>
      <c r="F863">
        <v>14</v>
      </c>
      <c r="G863">
        <v>85</v>
      </c>
      <c r="H863" t="b">
        <v>1</v>
      </c>
      <c r="I863">
        <f t="shared" si="26"/>
        <v>1</v>
      </c>
      <c r="J863" t="str">
        <f t="shared" si="27"/>
        <v>751-850 (Excellent)</v>
      </c>
      <c r="K863" s="1"/>
    </row>
    <row r="864" spans="1:11" x14ac:dyDescent="0.35">
      <c r="A864" t="s">
        <v>1017</v>
      </c>
      <c r="B864" t="s">
        <v>1018</v>
      </c>
      <c r="C864">
        <v>127310</v>
      </c>
      <c r="D864">
        <v>480</v>
      </c>
      <c r="E864">
        <v>28624</v>
      </c>
      <c r="F864">
        <v>31</v>
      </c>
      <c r="G864">
        <v>55</v>
      </c>
      <c r="H864" t="b">
        <v>0</v>
      </c>
      <c r="I864">
        <f t="shared" si="26"/>
        <v>0</v>
      </c>
      <c r="J864" t="str">
        <f t="shared" si="27"/>
        <v>451-600 (Fair)</v>
      </c>
      <c r="K864" s="1"/>
    </row>
    <row r="865" spans="1:11" x14ac:dyDescent="0.35">
      <c r="A865" t="s">
        <v>2569</v>
      </c>
      <c r="B865" t="s">
        <v>2570</v>
      </c>
      <c r="C865">
        <v>121715</v>
      </c>
      <c r="D865">
        <v>462</v>
      </c>
      <c r="E865">
        <v>28617</v>
      </c>
      <c r="F865">
        <v>30</v>
      </c>
      <c r="G865">
        <v>55</v>
      </c>
      <c r="H865" t="b">
        <v>0</v>
      </c>
      <c r="I865">
        <f t="shared" si="26"/>
        <v>0</v>
      </c>
      <c r="J865" t="str">
        <f t="shared" si="27"/>
        <v>451-600 (Fair)</v>
      </c>
      <c r="K865" s="1"/>
    </row>
    <row r="866" spans="1:11" x14ac:dyDescent="0.35">
      <c r="A866" t="s">
        <v>2424</v>
      </c>
      <c r="B866" t="s">
        <v>1734</v>
      </c>
      <c r="C866">
        <v>68974</v>
      </c>
      <c r="D866">
        <v>718</v>
      </c>
      <c r="E866">
        <v>28592</v>
      </c>
      <c r="F866">
        <v>32</v>
      </c>
      <c r="G866">
        <v>60</v>
      </c>
      <c r="H866" t="b">
        <v>1</v>
      </c>
      <c r="I866">
        <f t="shared" si="26"/>
        <v>1</v>
      </c>
      <c r="J866" t="str">
        <f t="shared" si="27"/>
        <v>601-750 (Good)</v>
      </c>
      <c r="K866" s="1"/>
    </row>
    <row r="867" spans="1:11" x14ac:dyDescent="0.35">
      <c r="A867" t="s">
        <v>1273</v>
      </c>
      <c r="B867" t="s">
        <v>1274</v>
      </c>
      <c r="C867">
        <v>82386</v>
      </c>
      <c r="D867">
        <v>639</v>
      </c>
      <c r="E867">
        <v>28591</v>
      </c>
      <c r="F867">
        <v>22</v>
      </c>
      <c r="G867">
        <v>60</v>
      </c>
      <c r="H867" t="b">
        <v>1</v>
      </c>
      <c r="I867">
        <f t="shared" si="26"/>
        <v>1</v>
      </c>
      <c r="J867" t="str">
        <f t="shared" si="27"/>
        <v>601-750 (Good)</v>
      </c>
      <c r="K867" s="1"/>
    </row>
    <row r="868" spans="1:11" x14ac:dyDescent="0.35">
      <c r="A868" t="s">
        <v>2301</v>
      </c>
      <c r="B868" t="s">
        <v>2302</v>
      </c>
      <c r="C868">
        <v>77301</v>
      </c>
      <c r="D868">
        <v>777</v>
      </c>
      <c r="E868">
        <v>28558</v>
      </c>
      <c r="F868">
        <v>26</v>
      </c>
      <c r="G868">
        <v>80</v>
      </c>
      <c r="H868" t="b">
        <v>1</v>
      </c>
      <c r="I868">
        <f t="shared" si="26"/>
        <v>1</v>
      </c>
      <c r="J868" t="str">
        <f t="shared" si="27"/>
        <v>751-850 (Excellent)</v>
      </c>
      <c r="K868" s="1"/>
    </row>
    <row r="869" spans="1:11" x14ac:dyDescent="0.35">
      <c r="A869" t="s">
        <v>671</v>
      </c>
      <c r="B869" t="s">
        <v>672</v>
      </c>
      <c r="C869">
        <v>76438</v>
      </c>
      <c r="D869">
        <v>543</v>
      </c>
      <c r="E869">
        <v>28513</v>
      </c>
      <c r="F869">
        <v>31</v>
      </c>
      <c r="G869">
        <v>45</v>
      </c>
      <c r="H869" t="b">
        <v>0</v>
      </c>
      <c r="I869">
        <f t="shared" si="26"/>
        <v>0</v>
      </c>
      <c r="J869" t="str">
        <f t="shared" si="27"/>
        <v>451-600 (Fair)</v>
      </c>
      <c r="K869" s="1"/>
    </row>
    <row r="870" spans="1:11" x14ac:dyDescent="0.35">
      <c r="A870" t="s">
        <v>2810</v>
      </c>
      <c r="B870" t="s">
        <v>2811</v>
      </c>
      <c r="C870">
        <v>95323</v>
      </c>
      <c r="D870">
        <v>636</v>
      </c>
      <c r="E870">
        <v>28501</v>
      </c>
      <c r="F870">
        <v>16</v>
      </c>
      <c r="G870">
        <v>60</v>
      </c>
      <c r="H870" t="b">
        <v>1</v>
      </c>
      <c r="I870">
        <f t="shared" si="26"/>
        <v>1</v>
      </c>
      <c r="J870" t="str">
        <f t="shared" si="27"/>
        <v>601-750 (Good)</v>
      </c>
      <c r="K870" s="1"/>
    </row>
    <row r="871" spans="1:11" x14ac:dyDescent="0.35">
      <c r="A871" t="s">
        <v>2464</v>
      </c>
      <c r="B871" t="s">
        <v>2465</v>
      </c>
      <c r="C871">
        <v>102350</v>
      </c>
      <c r="D871">
        <v>594</v>
      </c>
      <c r="E871">
        <v>28498</v>
      </c>
      <c r="F871">
        <v>28</v>
      </c>
      <c r="G871">
        <v>65</v>
      </c>
      <c r="H871" t="b">
        <v>1</v>
      </c>
      <c r="I871">
        <f t="shared" si="26"/>
        <v>1</v>
      </c>
      <c r="J871" t="str">
        <f t="shared" si="27"/>
        <v>451-600 (Fair)</v>
      </c>
      <c r="K871" s="1"/>
    </row>
    <row r="872" spans="1:11" x14ac:dyDescent="0.35">
      <c r="A872" t="s">
        <v>1173</v>
      </c>
      <c r="B872" t="s">
        <v>1174</v>
      </c>
      <c r="C872">
        <v>134842</v>
      </c>
      <c r="D872">
        <v>352</v>
      </c>
      <c r="E872">
        <v>28497</v>
      </c>
      <c r="F872">
        <v>19</v>
      </c>
      <c r="G872">
        <v>55</v>
      </c>
      <c r="H872" t="b">
        <v>0</v>
      </c>
      <c r="I872">
        <f t="shared" si="26"/>
        <v>0</v>
      </c>
      <c r="J872" t="str">
        <f t="shared" si="27"/>
        <v>300-450 (Poor)</v>
      </c>
      <c r="K872" s="1"/>
    </row>
    <row r="873" spans="1:11" x14ac:dyDescent="0.35">
      <c r="A873" t="s">
        <v>3591</v>
      </c>
      <c r="B873" t="s">
        <v>3592</v>
      </c>
      <c r="C873">
        <v>66160</v>
      </c>
      <c r="D873">
        <v>519</v>
      </c>
      <c r="E873">
        <v>28491</v>
      </c>
      <c r="F873">
        <v>30</v>
      </c>
      <c r="G873">
        <v>35</v>
      </c>
      <c r="H873" t="b">
        <v>0</v>
      </c>
      <c r="I873">
        <f t="shared" si="26"/>
        <v>0</v>
      </c>
      <c r="J873" t="str">
        <f t="shared" si="27"/>
        <v>451-600 (Fair)</v>
      </c>
      <c r="K873" s="1"/>
    </row>
    <row r="874" spans="1:11" x14ac:dyDescent="0.35">
      <c r="A874" t="s">
        <v>73</v>
      </c>
      <c r="B874" t="s">
        <v>74</v>
      </c>
      <c r="C874">
        <v>115181</v>
      </c>
      <c r="D874">
        <v>383</v>
      </c>
      <c r="E874">
        <v>28474</v>
      </c>
      <c r="F874">
        <v>37</v>
      </c>
      <c r="G874">
        <v>55</v>
      </c>
      <c r="H874" t="b">
        <v>0</v>
      </c>
      <c r="I874">
        <f t="shared" si="26"/>
        <v>0</v>
      </c>
      <c r="J874" t="str">
        <f t="shared" si="27"/>
        <v>300-450 (Poor)</v>
      </c>
      <c r="K874" s="1"/>
    </row>
    <row r="875" spans="1:11" x14ac:dyDescent="0.35">
      <c r="A875" t="s">
        <v>1350</v>
      </c>
      <c r="B875" t="s">
        <v>1351</v>
      </c>
      <c r="C875">
        <v>126605</v>
      </c>
      <c r="D875">
        <v>633</v>
      </c>
      <c r="E875">
        <v>28463</v>
      </c>
      <c r="F875">
        <v>12</v>
      </c>
      <c r="G875">
        <v>70</v>
      </c>
      <c r="H875" t="b">
        <v>1</v>
      </c>
      <c r="I875">
        <f t="shared" si="26"/>
        <v>1</v>
      </c>
      <c r="J875" t="str">
        <f t="shared" si="27"/>
        <v>601-750 (Good)</v>
      </c>
      <c r="K875" s="1"/>
    </row>
    <row r="876" spans="1:11" x14ac:dyDescent="0.35">
      <c r="A876" t="s">
        <v>2425</v>
      </c>
      <c r="B876" t="s">
        <v>2426</v>
      </c>
      <c r="C876">
        <v>142743</v>
      </c>
      <c r="D876">
        <v>423</v>
      </c>
      <c r="E876">
        <v>28435</v>
      </c>
      <c r="F876">
        <v>16</v>
      </c>
      <c r="G876">
        <v>55</v>
      </c>
      <c r="H876" t="b">
        <v>0</v>
      </c>
      <c r="I876">
        <f t="shared" si="26"/>
        <v>0</v>
      </c>
      <c r="J876" t="str">
        <f t="shared" si="27"/>
        <v>300-450 (Poor)</v>
      </c>
      <c r="K876" s="1"/>
    </row>
    <row r="877" spans="1:11" x14ac:dyDescent="0.35">
      <c r="A877" t="s">
        <v>785</v>
      </c>
      <c r="B877" t="s">
        <v>786</v>
      </c>
      <c r="C877">
        <v>81173</v>
      </c>
      <c r="D877">
        <v>565</v>
      </c>
      <c r="E877">
        <v>28431</v>
      </c>
      <c r="F877">
        <v>25</v>
      </c>
      <c r="G877">
        <v>45</v>
      </c>
      <c r="H877" t="b">
        <v>0</v>
      </c>
      <c r="I877">
        <f t="shared" si="26"/>
        <v>0</v>
      </c>
      <c r="J877" t="str">
        <f t="shared" si="27"/>
        <v>451-600 (Fair)</v>
      </c>
      <c r="K877" s="1"/>
    </row>
    <row r="878" spans="1:11" x14ac:dyDescent="0.35">
      <c r="A878" t="s">
        <v>1364</v>
      </c>
      <c r="B878" t="s">
        <v>1365</v>
      </c>
      <c r="C878">
        <v>73279</v>
      </c>
      <c r="D878">
        <v>305</v>
      </c>
      <c r="E878">
        <v>28379</v>
      </c>
      <c r="F878">
        <v>2</v>
      </c>
      <c r="G878">
        <v>30</v>
      </c>
      <c r="H878" t="b">
        <v>0</v>
      </c>
      <c r="I878">
        <f t="shared" si="26"/>
        <v>0</v>
      </c>
      <c r="J878" t="str">
        <f t="shared" si="27"/>
        <v>300-450 (Poor)</v>
      </c>
      <c r="K878" s="1"/>
    </row>
    <row r="879" spans="1:11" x14ac:dyDescent="0.35">
      <c r="A879" t="s">
        <v>2705</v>
      </c>
      <c r="B879" t="s">
        <v>2706</v>
      </c>
      <c r="C879">
        <v>45194</v>
      </c>
      <c r="D879">
        <v>702</v>
      </c>
      <c r="E879">
        <v>28336</v>
      </c>
      <c r="F879">
        <v>0</v>
      </c>
      <c r="G879">
        <v>35</v>
      </c>
      <c r="H879" t="b">
        <v>0</v>
      </c>
      <c r="I879">
        <f t="shared" si="26"/>
        <v>0</v>
      </c>
      <c r="J879" t="str">
        <f t="shared" si="27"/>
        <v>601-750 (Good)</v>
      </c>
      <c r="K879" s="1"/>
    </row>
    <row r="880" spans="1:11" x14ac:dyDescent="0.35">
      <c r="A880" t="s">
        <v>1625</v>
      </c>
      <c r="B880" t="s">
        <v>1626</v>
      </c>
      <c r="C880">
        <v>85933</v>
      </c>
      <c r="D880">
        <v>699</v>
      </c>
      <c r="E880">
        <v>28319</v>
      </c>
      <c r="F880">
        <v>23</v>
      </c>
      <c r="G880">
        <v>70</v>
      </c>
      <c r="H880" t="b">
        <v>1</v>
      </c>
      <c r="I880">
        <f t="shared" si="26"/>
        <v>1</v>
      </c>
      <c r="J880" t="str">
        <f t="shared" si="27"/>
        <v>601-750 (Good)</v>
      </c>
      <c r="K880" s="1"/>
    </row>
    <row r="881" spans="1:11" x14ac:dyDescent="0.35">
      <c r="A881" t="s">
        <v>3309</v>
      </c>
      <c r="B881" t="s">
        <v>3310</v>
      </c>
      <c r="C881">
        <v>42735</v>
      </c>
      <c r="D881">
        <v>646</v>
      </c>
      <c r="E881">
        <v>28232</v>
      </c>
      <c r="F881">
        <v>0</v>
      </c>
      <c r="G881">
        <v>25</v>
      </c>
      <c r="H881" t="b">
        <v>0</v>
      </c>
      <c r="I881">
        <f t="shared" si="26"/>
        <v>0</v>
      </c>
      <c r="J881" t="str">
        <f t="shared" si="27"/>
        <v>601-750 (Good)</v>
      </c>
      <c r="K881" s="1"/>
    </row>
    <row r="882" spans="1:11" x14ac:dyDescent="0.35">
      <c r="A882" t="s">
        <v>3598</v>
      </c>
      <c r="B882" t="s">
        <v>3599</v>
      </c>
      <c r="C882">
        <v>138028</v>
      </c>
      <c r="D882">
        <v>818</v>
      </c>
      <c r="E882">
        <v>28231</v>
      </c>
      <c r="F882">
        <v>28</v>
      </c>
      <c r="G882">
        <v>95</v>
      </c>
      <c r="H882" t="b">
        <v>1</v>
      </c>
      <c r="I882">
        <f t="shared" si="26"/>
        <v>1</v>
      </c>
      <c r="J882" t="str">
        <f t="shared" si="27"/>
        <v>751-850 (Excellent)</v>
      </c>
      <c r="K882" s="1"/>
    </row>
    <row r="883" spans="1:11" x14ac:dyDescent="0.35">
      <c r="A883" t="s">
        <v>3387</v>
      </c>
      <c r="B883" t="s">
        <v>3388</v>
      </c>
      <c r="C883">
        <v>135412</v>
      </c>
      <c r="D883">
        <v>457</v>
      </c>
      <c r="E883">
        <v>28200</v>
      </c>
      <c r="F883">
        <v>6</v>
      </c>
      <c r="G883">
        <v>50</v>
      </c>
      <c r="H883" t="b">
        <v>0</v>
      </c>
      <c r="I883">
        <f t="shared" si="26"/>
        <v>0</v>
      </c>
      <c r="J883" t="str">
        <f t="shared" si="27"/>
        <v>451-600 (Fair)</v>
      </c>
      <c r="K883" s="1"/>
    </row>
    <row r="884" spans="1:11" x14ac:dyDescent="0.35">
      <c r="A884" t="s">
        <v>1861</v>
      </c>
      <c r="B884" t="s">
        <v>1862</v>
      </c>
      <c r="C884">
        <v>89598</v>
      </c>
      <c r="D884">
        <v>833</v>
      </c>
      <c r="E884">
        <v>28190</v>
      </c>
      <c r="F884">
        <v>18</v>
      </c>
      <c r="G884">
        <v>85</v>
      </c>
      <c r="H884" t="b">
        <v>1</v>
      </c>
      <c r="I884">
        <f t="shared" si="26"/>
        <v>1</v>
      </c>
      <c r="J884" t="str">
        <f t="shared" si="27"/>
        <v>751-850 (Excellent)</v>
      </c>
      <c r="K884" s="1"/>
    </row>
    <row r="885" spans="1:11" x14ac:dyDescent="0.35">
      <c r="A885" t="s">
        <v>1547</v>
      </c>
      <c r="B885" t="s">
        <v>1548</v>
      </c>
      <c r="C885">
        <v>61979</v>
      </c>
      <c r="D885">
        <v>386</v>
      </c>
      <c r="E885">
        <v>28164</v>
      </c>
      <c r="F885">
        <v>23</v>
      </c>
      <c r="G885">
        <v>35</v>
      </c>
      <c r="H885" t="b">
        <v>0</v>
      </c>
      <c r="I885">
        <f t="shared" si="26"/>
        <v>0</v>
      </c>
      <c r="J885" t="str">
        <f t="shared" si="27"/>
        <v>300-450 (Poor)</v>
      </c>
      <c r="K885" s="1"/>
    </row>
    <row r="886" spans="1:11" x14ac:dyDescent="0.35">
      <c r="A886" t="s">
        <v>3244</v>
      </c>
      <c r="B886" t="s">
        <v>3245</v>
      </c>
      <c r="C886">
        <v>104177</v>
      </c>
      <c r="D886">
        <v>457</v>
      </c>
      <c r="E886">
        <v>28146</v>
      </c>
      <c r="F886">
        <v>30</v>
      </c>
      <c r="G886">
        <v>50</v>
      </c>
      <c r="H886" t="b">
        <v>0</v>
      </c>
      <c r="I886">
        <f t="shared" si="26"/>
        <v>0</v>
      </c>
      <c r="J886" t="str">
        <f t="shared" si="27"/>
        <v>451-600 (Fair)</v>
      </c>
      <c r="K886" s="1"/>
    </row>
    <row r="887" spans="1:11" x14ac:dyDescent="0.35">
      <c r="A887" t="s">
        <v>506</v>
      </c>
      <c r="B887" t="s">
        <v>507</v>
      </c>
      <c r="C887">
        <v>104364</v>
      </c>
      <c r="D887">
        <v>620</v>
      </c>
      <c r="E887">
        <v>28127</v>
      </c>
      <c r="F887">
        <v>2</v>
      </c>
      <c r="G887">
        <v>55</v>
      </c>
      <c r="H887" t="b">
        <v>0</v>
      </c>
      <c r="I887">
        <f t="shared" si="26"/>
        <v>0</v>
      </c>
      <c r="J887" t="str">
        <f t="shared" si="27"/>
        <v>601-750 (Good)</v>
      </c>
      <c r="K887" s="1"/>
    </row>
    <row r="888" spans="1:11" x14ac:dyDescent="0.35">
      <c r="A888" t="s">
        <v>269</v>
      </c>
      <c r="B888" t="s">
        <v>270</v>
      </c>
      <c r="C888">
        <v>137715</v>
      </c>
      <c r="D888">
        <v>533</v>
      </c>
      <c r="E888">
        <v>28119</v>
      </c>
      <c r="F888">
        <v>21</v>
      </c>
      <c r="G888">
        <v>55</v>
      </c>
      <c r="H888" t="b">
        <v>0</v>
      </c>
      <c r="I888">
        <f t="shared" si="26"/>
        <v>0</v>
      </c>
      <c r="J888" t="str">
        <f t="shared" si="27"/>
        <v>451-600 (Fair)</v>
      </c>
      <c r="K888" s="1"/>
    </row>
    <row r="889" spans="1:11" x14ac:dyDescent="0.35">
      <c r="A889" t="s">
        <v>546</v>
      </c>
      <c r="B889" t="s">
        <v>547</v>
      </c>
      <c r="C889">
        <v>85461</v>
      </c>
      <c r="D889">
        <v>598</v>
      </c>
      <c r="E889">
        <v>28119</v>
      </c>
      <c r="F889">
        <v>24</v>
      </c>
      <c r="G889">
        <v>60</v>
      </c>
      <c r="H889" t="b">
        <v>1</v>
      </c>
      <c r="I889">
        <f t="shared" si="26"/>
        <v>1</v>
      </c>
      <c r="J889" t="str">
        <f t="shared" si="27"/>
        <v>451-600 (Fair)</v>
      </c>
      <c r="K889" s="1"/>
    </row>
    <row r="890" spans="1:11" x14ac:dyDescent="0.35">
      <c r="A890" t="s">
        <v>440</v>
      </c>
      <c r="B890" t="s">
        <v>441</v>
      </c>
      <c r="C890">
        <v>96542</v>
      </c>
      <c r="D890">
        <v>402</v>
      </c>
      <c r="E890">
        <v>28086</v>
      </c>
      <c r="F890">
        <v>21</v>
      </c>
      <c r="G890">
        <v>45</v>
      </c>
      <c r="H890" t="b">
        <v>0</v>
      </c>
      <c r="I890">
        <f t="shared" si="26"/>
        <v>0</v>
      </c>
      <c r="J890" t="str">
        <f t="shared" si="27"/>
        <v>300-450 (Poor)</v>
      </c>
      <c r="K890" s="1"/>
    </row>
    <row r="891" spans="1:11" x14ac:dyDescent="0.35">
      <c r="A891" t="s">
        <v>972</v>
      </c>
      <c r="B891" t="s">
        <v>973</v>
      </c>
      <c r="C891">
        <v>50676</v>
      </c>
      <c r="D891">
        <v>508</v>
      </c>
      <c r="E891">
        <v>28081</v>
      </c>
      <c r="F891">
        <v>35</v>
      </c>
      <c r="G891">
        <v>35</v>
      </c>
      <c r="H891" t="b">
        <v>0</v>
      </c>
      <c r="I891">
        <f t="shared" si="26"/>
        <v>0</v>
      </c>
      <c r="J891" t="str">
        <f t="shared" si="27"/>
        <v>451-600 (Fair)</v>
      </c>
      <c r="K891" s="1"/>
    </row>
    <row r="892" spans="1:11" x14ac:dyDescent="0.35">
      <c r="A892" t="s">
        <v>673</v>
      </c>
      <c r="B892" t="s">
        <v>674</v>
      </c>
      <c r="C892">
        <v>85519</v>
      </c>
      <c r="D892">
        <v>832</v>
      </c>
      <c r="E892">
        <v>28070</v>
      </c>
      <c r="F892">
        <v>23</v>
      </c>
      <c r="G892">
        <v>85</v>
      </c>
      <c r="H892" t="b">
        <v>1</v>
      </c>
      <c r="I892">
        <f t="shared" si="26"/>
        <v>1</v>
      </c>
      <c r="J892" t="str">
        <f t="shared" si="27"/>
        <v>751-850 (Excellent)</v>
      </c>
      <c r="K892" s="1"/>
    </row>
    <row r="893" spans="1:11" x14ac:dyDescent="0.35">
      <c r="A893" t="s">
        <v>1154</v>
      </c>
      <c r="B893" t="s">
        <v>1155</v>
      </c>
      <c r="C893">
        <v>103385</v>
      </c>
      <c r="D893">
        <v>576</v>
      </c>
      <c r="E893">
        <v>28069</v>
      </c>
      <c r="F893">
        <v>14</v>
      </c>
      <c r="G893">
        <v>50</v>
      </c>
      <c r="H893" t="b">
        <v>0</v>
      </c>
      <c r="I893">
        <f t="shared" si="26"/>
        <v>0</v>
      </c>
      <c r="J893" t="str">
        <f t="shared" si="27"/>
        <v>451-600 (Fair)</v>
      </c>
      <c r="K893" s="1"/>
    </row>
    <row r="894" spans="1:11" x14ac:dyDescent="0.35">
      <c r="A894" t="s">
        <v>1050</v>
      </c>
      <c r="B894" t="s">
        <v>1051</v>
      </c>
      <c r="C894">
        <v>148664</v>
      </c>
      <c r="D894">
        <v>575</v>
      </c>
      <c r="E894">
        <v>28060</v>
      </c>
      <c r="F894">
        <v>12</v>
      </c>
      <c r="G894">
        <v>55</v>
      </c>
      <c r="H894" t="b">
        <v>0</v>
      </c>
      <c r="I894">
        <f t="shared" si="26"/>
        <v>0</v>
      </c>
      <c r="J894" t="str">
        <f t="shared" si="27"/>
        <v>451-600 (Fair)</v>
      </c>
      <c r="K894" s="1"/>
    </row>
    <row r="895" spans="1:11" x14ac:dyDescent="0.35">
      <c r="A895" t="s">
        <v>914</v>
      </c>
      <c r="B895" t="s">
        <v>915</v>
      </c>
      <c r="C895">
        <v>61285</v>
      </c>
      <c r="D895">
        <v>516</v>
      </c>
      <c r="E895">
        <v>28043</v>
      </c>
      <c r="F895">
        <v>32</v>
      </c>
      <c r="G895">
        <v>35</v>
      </c>
      <c r="H895" t="b">
        <v>0</v>
      </c>
      <c r="I895">
        <f t="shared" si="26"/>
        <v>0</v>
      </c>
      <c r="J895" t="str">
        <f t="shared" si="27"/>
        <v>451-600 (Fair)</v>
      </c>
      <c r="K895" s="1"/>
    </row>
    <row r="896" spans="1:11" x14ac:dyDescent="0.35">
      <c r="A896" t="s">
        <v>3685</v>
      </c>
      <c r="B896" t="s">
        <v>3686</v>
      </c>
      <c r="C896">
        <v>33379</v>
      </c>
      <c r="D896">
        <v>322</v>
      </c>
      <c r="E896">
        <v>28023</v>
      </c>
      <c r="F896">
        <v>14</v>
      </c>
      <c r="G896">
        <v>25</v>
      </c>
      <c r="H896" t="b">
        <v>0</v>
      </c>
      <c r="I896">
        <f t="shared" si="26"/>
        <v>0</v>
      </c>
      <c r="J896" t="str">
        <f t="shared" si="27"/>
        <v>300-450 (Poor)</v>
      </c>
      <c r="K896" s="1"/>
    </row>
    <row r="897" spans="1:11" x14ac:dyDescent="0.35">
      <c r="A897" t="s">
        <v>93</v>
      </c>
      <c r="B897" t="s">
        <v>94</v>
      </c>
      <c r="C897">
        <v>30851</v>
      </c>
      <c r="D897">
        <v>481</v>
      </c>
      <c r="E897">
        <v>28020</v>
      </c>
      <c r="F897">
        <v>1</v>
      </c>
      <c r="G897">
        <v>10</v>
      </c>
      <c r="H897" t="b">
        <v>0</v>
      </c>
      <c r="I897">
        <f t="shared" si="26"/>
        <v>0</v>
      </c>
      <c r="J897" t="str">
        <f t="shared" si="27"/>
        <v>451-600 (Fair)</v>
      </c>
      <c r="K897" s="1"/>
    </row>
    <row r="898" spans="1:11" x14ac:dyDescent="0.35">
      <c r="A898" t="s">
        <v>1294</v>
      </c>
      <c r="B898" t="s">
        <v>1295</v>
      </c>
      <c r="C898">
        <v>64795</v>
      </c>
      <c r="D898">
        <v>312</v>
      </c>
      <c r="E898">
        <v>27951</v>
      </c>
      <c r="F898">
        <v>6</v>
      </c>
      <c r="G898">
        <v>30</v>
      </c>
      <c r="H898" t="b">
        <v>0</v>
      </c>
      <c r="I898">
        <f t="shared" si="26"/>
        <v>0</v>
      </c>
      <c r="J898" t="str">
        <f t="shared" si="27"/>
        <v>300-450 (Poor)</v>
      </c>
      <c r="K898" s="1"/>
    </row>
    <row r="899" spans="1:11" x14ac:dyDescent="0.35">
      <c r="A899" t="s">
        <v>2470</v>
      </c>
      <c r="B899" t="s">
        <v>2471</v>
      </c>
      <c r="C899">
        <v>30350</v>
      </c>
      <c r="D899">
        <v>625</v>
      </c>
      <c r="E899">
        <v>27950</v>
      </c>
      <c r="F899">
        <v>25</v>
      </c>
      <c r="G899">
        <v>40</v>
      </c>
      <c r="H899" t="b">
        <v>0</v>
      </c>
      <c r="I899">
        <f t="shared" si="26"/>
        <v>0</v>
      </c>
      <c r="J899" t="str">
        <f t="shared" si="27"/>
        <v>601-750 (Good)</v>
      </c>
      <c r="K899" s="1"/>
    </row>
    <row r="900" spans="1:11" x14ac:dyDescent="0.35">
      <c r="A900" t="s">
        <v>3782</v>
      </c>
      <c r="B900" t="s">
        <v>1802</v>
      </c>
      <c r="C900">
        <v>88138</v>
      </c>
      <c r="D900">
        <v>554</v>
      </c>
      <c r="E900">
        <v>27921</v>
      </c>
      <c r="F900">
        <v>8</v>
      </c>
      <c r="G900">
        <v>40</v>
      </c>
      <c r="H900" t="b">
        <v>0</v>
      </c>
      <c r="I900">
        <f t="shared" ref="I900:I963" si="28">--H900</f>
        <v>0</v>
      </c>
      <c r="J900" t="str">
        <f t="shared" ref="J900:J963" si="29">IF(D900&gt;750, "751-850 (Excellent)", IF(D900&gt;600, "601-750 (Good)", IF(D900&gt;450, "451-600 (Fair)", "300-450 (Poor)")))</f>
        <v>451-600 (Fair)</v>
      </c>
      <c r="K900" s="1"/>
    </row>
    <row r="901" spans="1:11" x14ac:dyDescent="0.35">
      <c r="A901" t="s">
        <v>2164</v>
      </c>
      <c r="B901" t="s">
        <v>2165</v>
      </c>
      <c r="C901">
        <v>31330</v>
      </c>
      <c r="D901">
        <v>723</v>
      </c>
      <c r="E901">
        <v>27895</v>
      </c>
      <c r="F901">
        <v>22</v>
      </c>
      <c r="G901">
        <v>50</v>
      </c>
      <c r="H901" t="b">
        <v>0</v>
      </c>
      <c r="I901">
        <f t="shared" si="28"/>
        <v>0</v>
      </c>
      <c r="J901" t="str">
        <f t="shared" si="29"/>
        <v>601-750 (Good)</v>
      </c>
      <c r="K901" s="1"/>
    </row>
    <row r="902" spans="1:11" x14ac:dyDescent="0.35">
      <c r="A902" t="s">
        <v>3190</v>
      </c>
      <c r="B902" t="s">
        <v>3191</v>
      </c>
      <c r="C902">
        <v>107014</v>
      </c>
      <c r="D902">
        <v>534</v>
      </c>
      <c r="E902">
        <v>27834</v>
      </c>
      <c r="F902">
        <v>19</v>
      </c>
      <c r="G902">
        <v>50</v>
      </c>
      <c r="H902" t="b">
        <v>0</v>
      </c>
      <c r="I902">
        <f t="shared" si="28"/>
        <v>0</v>
      </c>
      <c r="J902" t="str">
        <f t="shared" si="29"/>
        <v>451-600 (Fair)</v>
      </c>
      <c r="K902" s="1"/>
    </row>
    <row r="903" spans="1:11" x14ac:dyDescent="0.35">
      <c r="A903" t="s">
        <v>797</v>
      </c>
      <c r="B903" t="s">
        <v>798</v>
      </c>
      <c r="C903">
        <v>85444</v>
      </c>
      <c r="D903">
        <v>650</v>
      </c>
      <c r="E903">
        <v>27816</v>
      </c>
      <c r="F903">
        <v>36</v>
      </c>
      <c r="G903">
        <v>60</v>
      </c>
      <c r="H903" t="b">
        <v>1</v>
      </c>
      <c r="I903">
        <f t="shared" si="28"/>
        <v>1</v>
      </c>
      <c r="J903" t="str">
        <f t="shared" si="29"/>
        <v>601-750 (Good)</v>
      </c>
      <c r="K903" s="1"/>
    </row>
    <row r="904" spans="1:11" x14ac:dyDescent="0.35">
      <c r="A904" t="s">
        <v>562</v>
      </c>
      <c r="B904" t="s">
        <v>563</v>
      </c>
      <c r="C904">
        <v>70857</v>
      </c>
      <c r="D904">
        <v>370</v>
      </c>
      <c r="E904">
        <v>27813</v>
      </c>
      <c r="F904">
        <v>31</v>
      </c>
      <c r="G904">
        <v>40</v>
      </c>
      <c r="H904" t="b">
        <v>0</v>
      </c>
      <c r="I904">
        <f t="shared" si="28"/>
        <v>0</v>
      </c>
      <c r="J904" t="str">
        <f t="shared" si="29"/>
        <v>300-450 (Poor)</v>
      </c>
      <c r="K904" s="1"/>
    </row>
    <row r="905" spans="1:11" x14ac:dyDescent="0.35">
      <c r="A905" t="s">
        <v>1787</v>
      </c>
      <c r="B905" t="s">
        <v>1788</v>
      </c>
      <c r="C905">
        <v>58760</v>
      </c>
      <c r="D905">
        <v>742</v>
      </c>
      <c r="E905">
        <v>27801</v>
      </c>
      <c r="F905">
        <v>23</v>
      </c>
      <c r="G905">
        <v>70</v>
      </c>
      <c r="H905" t="b">
        <v>1</v>
      </c>
      <c r="I905">
        <f t="shared" si="28"/>
        <v>1</v>
      </c>
      <c r="J905" t="str">
        <f t="shared" si="29"/>
        <v>601-750 (Good)</v>
      </c>
      <c r="K905" s="1"/>
    </row>
    <row r="906" spans="1:11" x14ac:dyDescent="0.35">
      <c r="A906" t="s">
        <v>2431</v>
      </c>
      <c r="B906" t="s">
        <v>2432</v>
      </c>
      <c r="C906">
        <v>70026</v>
      </c>
      <c r="D906">
        <v>759</v>
      </c>
      <c r="E906">
        <v>27796</v>
      </c>
      <c r="F906">
        <v>40</v>
      </c>
      <c r="G906">
        <v>75</v>
      </c>
      <c r="H906" t="b">
        <v>1</v>
      </c>
      <c r="I906">
        <f t="shared" si="28"/>
        <v>1</v>
      </c>
      <c r="J906" t="str">
        <f t="shared" si="29"/>
        <v>751-850 (Excellent)</v>
      </c>
      <c r="K906" s="1"/>
    </row>
    <row r="907" spans="1:11" x14ac:dyDescent="0.35">
      <c r="A907" t="s">
        <v>3173</v>
      </c>
      <c r="B907" t="s">
        <v>3174</v>
      </c>
      <c r="C907">
        <v>90981</v>
      </c>
      <c r="D907">
        <v>383</v>
      </c>
      <c r="E907">
        <v>27773</v>
      </c>
      <c r="F907">
        <v>28</v>
      </c>
      <c r="G907">
        <v>45</v>
      </c>
      <c r="H907" t="b">
        <v>0</v>
      </c>
      <c r="I907">
        <f t="shared" si="28"/>
        <v>0</v>
      </c>
      <c r="J907" t="str">
        <f t="shared" si="29"/>
        <v>300-450 (Poor)</v>
      </c>
      <c r="K907" s="1"/>
    </row>
    <row r="908" spans="1:11" x14ac:dyDescent="0.35">
      <c r="A908" t="s">
        <v>544</v>
      </c>
      <c r="B908" t="s">
        <v>545</v>
      </c>
      <c r="C908">
        <v>109507</v>
      </c>
      <c r="D908">
        <v>824</v>
      </c>
      <c r="E908">
        <v>27741</v>
      </c>
      <c r="F908">
        <v>6</v>
      </c>
      <c r="G908">
        <v>85</v>
      </c>
      <c r="H908" t="b">
        <v>1</v>
      </c>
      <c r="I908">
        <f t="shared" si="28"/>
        <v>1</v>
      </c>
      <c r="J908" t="str">
        <f t="shared" si="29"/>
        <v>751-850 (Excellent)</v>
      </c>
      <c r="K908" s="1"/>
    </row>
    <row r="909" spans="1:11" x14ac:dyDescent="0.35">
      <c r="A909" t="s">
        <v>990</v>
      </c>
      <c r="B909" t="s">
        <v>991</v>
      </c>
      <c r="C909">
        <v>99329</v>
      </c>
      <c r="D909">
        <v>479</v>
      </c>
      <c r="E909">
        <v>27681</v>
      </c>
      <c r="F909">
        <v>32</v>
      </c>
      <c r="G909">
        <v>45</v>
      </c>
      <c r="H909" t="b">
        <v>0</v>
      </c>
      <c r="I909">
        <f t="shared" si="28"/>
        <v>0</v>
      </c>
      <c r="J909" t="str">
        <f t="shared" si="29"/>
        <v>451-600 (Fair)</v>
      </c>
      <c r="K909" s="1"/>
    </row>
    <row r="910" spans="1:11" x14ac:dyDescent="0.35">
      <c r="A910" t="s">
        <v>3077</v>
      </c>
      <c r="B910" t="s">
        <v>3078</v>
      </c>
      <c r="C910">
        <v>113066</v>
      </c>
      <c r="D910">
        <v>655</v>
      </c>
      <c r="E910">
        <v>27673</v>
      </c>
      <c r="F910">
        <v>11</v>
      </c>
      <c r="G910">
        <v>70</v>
      </c>
      <c r="H910" t="b">
        <v>1</v>
      </c>
      <c r="I910">
        <f t="shared" si="28"/>
        <v>1</v>
      </c>
      <c r="J910" t="str">
        <f t="shared" si="29"/>
        <v>601-750 (Good)</v>
      </c>
      <c r="K910" s="1"/>
    </row>
    <row r="911" spans="1:11" x14ac:dyDescent="0.35">
      <c r="A911" t="s">
        <v>3317</v>
      </c>
      <c r="B911" t="s">
        <v>3318</v>
      </c>
      <c r="C911">
        <v>35167</v>
      </c>
      <c r="D911">
        <v>607</v>
      </c>
      <c r="E911">
        <v>27664</v>
      </c>
      <c r="F911">
        <v>1</v>
      </c>
      <c r="G911">
        <v>25</v>
      </c>
      <c r="H911" t="b">
        <v>0</v>
      </c>
      <c r="I911">
        <f t="shared" si="28"/>
        <v>0</v>
      </c>
      <c r="J911" t="str">
        <f t="shared" si="29"/>
        <v>601-750 (Good)</v>
      </c>
      <c r="K911" s="1"/>
    </row>
    <row r="912" spans="1:11" x14ac:dyDescent="0.35">
      <c r="A912" t="s">
        <v>3450</v>
      </c>
      <c r="B912" t="s">
        <v>3451</v>
      </c>
      <c r="C912">
        <v>113695</v>
      </c>
      <c r="D912">
        <v>340</v>
      </c>
      <c r="E912">
        <v>27650</v>
      </c>
      <c r="F912">
        <v>2</v>
      </c>
      <c r="G912">
        <v>45</v>
      </c>
      <c r="H912" t="b">
        <v>0</v>
      </c>
      <c r="I912">
        <f t="shared" si="28"/>
        <v>0</v>
      </c>
      <c r="J912" t="str">
        <f t="shared" si="29"/>
        <v>300-450 (Poor)</v>
      </c>
      <c r="K912" s="1"/>
    </row>
    <row r="913" spans="1:11" x14ac:dyDescent="0.35">
      <c r="A913" t="s">
        <v>3498</v>
      </c>
      <c r="B913" t="s">
        <v>3499</v>
      </c>
      <c r="C913">
        <v>34877</v>
      </c>
      <c r="D913">
        <v>450</v>
      </c>
      <c r="E913">
        <v>27622</v>
      </c>
      <c r="F913">
        <v>37</v>
      </c>
      <c r="G913">
        <v>25</v>
      </c>
      <c r="H913" t="b">
        <v>0</v>
      </c>
      <c r="I913">
        <f t="shared" si="28"/>
        <v>0</v>
      </c>
      <c r="J913" t="str">
        <f t="shared" si="29"/>
        <v>300-450 (Poor)</v>
      </c>
      <c r="K913" s="1"/>
    </row>
    <row r="914" spans="1:11" x14ac:dyDescent="0.35">
      <c r="A914" t="s">
        <v>109</v>
      </c>
      <c r="B914" t="s">
        <v>110</v>
      </c>
      <c r="C914">
        <v>50379</v>
      </c>
      <c r="D914">
        <v>608</v>
      </c>
      <c r="E914">
        <v>27612</v>
      </c>
      <c r="F914">
        <v>35</v>
      </c>
      <c r="G914">
        <v>50</v>
      </c>
      <c r="H914" t="b">
        <v>0</v>
      </c>
      <c r="I914">
        <f t="shared" si="28"/>
        <v>0</v>
      </c>
      <c r="J914" t="str">
        <f t="shared" si="29"/>
        <v>601-750 (Good)</v>
      </c>
      <c r="K914" s="1"/>
    </row>
    <row r="915" spans="1:11" x14ac:dyDescent="0.35">
      <c r="A915" t="s">
        <v>1513</v>
      </c>
      <c r="B915" t="s">
        <v>1514</v>
      </c>
      <c r="C915">
        <v>62092</v>
      </c>
      <c r="D915">
        <v>541</v>
      </c>
      <c r="E915">
        <v>27598</v>
      </c>
      <c r="F915">
        <v>15</v>
      </c>
      <c r="G915">
        <v>35</v>
      </c>
      <c r="H915" t="b">
        <v>0</v>
      </c>
      <c r="I915">
        <f t="shared" si="28"/>
        <v>0</v>
      </c>
      <c r="J915" t="str">
        <f t="shared" si="29"/>
        <v>451-600 (Fair)</v>
      </c>
      <c r="K915" s="1"/>
    </row>
    <row r="916" spans="1:11" x14ac:dyDescent="0.35">
      <c r="A916" t="s">
        <v>1795</v>
      </c>
      <c r="B916" t="s">
        <v>1796</v>
      </c>
      <c r="C916">
        <v>33804</v>
      </c>
      <c r="D916">
        <v>713</v>
      </c>
      <c r="E916">
        <v>27591</v>
      </c>
      <c r="F916">
        <v>37</v>
      </c>
      <c r="G916">
        <v>50</v>
      </c>
      <c r="H916" t="b">
        <v>0</v>
      </c>
      <c r="I916">
        <f t="shared" si="28"/>
        <v>0</v>
      </c>
      <c r="J916" t="str">
        <f t="shared" si="29"/>
        <v>601-750 (Good)</v>
      </c>
      <c r="K916" s="1"/>
    </row>
    <row r="917" spans="1:11" x14ac:dyDescent="0.35">
      <c r="A917" t="s">
        <v>952</v>
      </c>
      <c r="B917" t="s">
        <v>953</v>
      </c>
      <c r="C917">
        <v>96307</v>
      </c>
      <c r="D917">
        <v>829</v>
      </c>
      <c r="E917">
        <v>27571</v>
      </c>
      <c r="F917">
        <v>38</v>
      </c>
      <c r="G917">
        <v>85</v>
      </c>
      <c r="H917" t="b">
        <v>1</v>
      </c>
      <c r="I917">
        <f t="shared" si="28"/>
        <v>1</v>
      </c>
      <c r="J917" t="str">
        <f t="shared" si="29"/>
        <v>751-850 (Excellent)</v>
      </c>
      <c r="K917" s="1"/>
    </row>
    <row r="918" spans="1:11" x14ac:dyDescent="0.35">
      <c r="A918" t="s">
        <v>986</v>
      </c>
      <c r="B918" t="s">
        <v>987</v>
      </c>
      <c r="C918">
        <v>135788</v>
      </c>
      <c r="D918">
        <v>704</v>
      </c>
      <c r="E918">
        <v>27571</v>
      </c>
      <c r="F918">
        <v>37</v>
      </c>
      <c r="G918">
        <v>80</v>
      </c>
      <c r="H918" t="b">
        <v>1</v>
      </c>
      <c r="I918">
        <f t="shared" si="28"/>
        <v>1</v>
      </c>
      <c r="J918" t="str">
        <f t="shared" si="29"/>
        <v>601-750 (Good)</v>
      </c>
      <c r="K918" s="1"/>
    </row>
    <row r="919" spans="1:11" x14ac:dyDescent="0.35">
      <c r="A919" t="s">
        <v>685</v>
      </c>
      <c r="B919" t="s">
        <v>686</v>
      </c>
      <c r="C919">
        <v>118259</v>
      </c>
      <c r="D919">
        <v>331</v>
      </c>
      <c r="E919">
        <v>27502</v>
      </c>
      <c r="F919">
        <v>28</v>
      </c>
      <c r="G919">
        <v>55</v>
      </c>
      <c r="H919" t="b">
        <v>0</v>
      </c>
      <c r="I919">
        <f t="shared" si="28"/>
        <v>0</v>
      </c>
      <c r="J919" t="str">
        <f t="shared" si="29"/>
        <v>300-450 (Poor)</v>
      </c>
      <c r="K919" s="1"/>
    </row>
    <row r="920" spans="1:11" x14ac:dyDescent="0.35">
      <c r="A920" t="s">
        <v>3855</v>
      </c>
      <c r="B920" t="s">
        <v>3856</v>
      </c>
      <c r="C920">
        <v>146403</v>
      </c>
      <c r="D920">
        <v>768</v>
      </c>
      <c r="E920">
        <v>27494</v>
      </c>
      <c r="F920">
        <v>11</v>
      </c>
      <c r="G920">
        <v>90</v>
      </c>
      <c r="H920" t="b">
        <v>1</v>
      </c>
      <c r="I920">
        <f t="shared" si="28"/>
        <v>1</v>
      </c>
      <c r="J920" t="str">
        <f t="shared" si="29"/>
        <v>751-850 (Excellent)</v>
      </c>
      <c r="K920" s="1"/>
    </row>
    <row r="921" spans="1:11" x14ac:dyDescent="0.35">
      <c r="A921" t="s">
        <v>811</v>
      </c>
      <c r="B921" t="s">
        <v>812</v>
      </c>
      <c r="C921">
        <v>93788</v>
      </c>
      <c r="D921">
        <v>468</v>
      </c>
      <c r="E921">
        <v>27436</v>
      </c>
      <c r="F921">
        <v>1</v>
      </c>
      <c r="G921">
        <v>30</v>
      </c>
      <c r="H921" t="b">
        <v>0</v>
      </c>
      <c r="I921">
        <f t="shared" si="28"/>
        <v>0</v>
      </c>
      <c r="J921" t="str">
        <f t="shared" si="29"/>
        <v>451-600 (Fair)</v>
      </c>
      <c r="K921" s="1"/>
    </row>
    <row r="922" spans="1:11" x14ac:dyDescent="0.35">
      <c r="A922" t="s">
        <v>2994</v>
      </c>
      <c r="B922" t="s">
        <v>2995</v>
      </c>
      <c r="C922">
        <v>48894</v>
      </c>
      <c r="D922">
        <v>632</v>
      </c>
      <c r="E922">
        <v>27426</v>
      </c>
      <c r="F922">
        <v>29</v>
      </c>
      <c r="G922">
        <v>40</v>
      </c>
      <c r="H922" t="b">
        <v>0</v>
      </c>
      <c r="I922">
        <f t="shared" si="28"/>
        <v>0</v>
      </c>
      <c r="J922" t="str">
        <f t="shared" si="29"/>
        <v>601-750 (Good)</v>
      </c>
      <c r="K922" s="1"/>
    </row>
    <row r="923" spans="1:11" x14ac:dyDescent="0.35">
      <c r="A923" t="s">
        <v>2305</v>
      </c>
      <c r="B923" t="s">
        <v>2306</v>
      </c>
      <c r="C923">
        <v>69618</v>
      </c>
      <c r="D923">
        <v>428</v>
      </c>
      <c r="E923">
        <v>27407</v>
      </c>
      <c r="F923">
        <v>0</v>
      </c>
      <c r="G923">
        <v>25</v>
      </c>
      <c r="H923" t="b">
        <v>0</v>
      </c>
      <c r="I923">
        <f t="shared" si="28"/>
        <v>0</v>
      </c>
      <c r="J923" t="str">
        <f t="shared" si="29"/>
        <v>300-450 (Poor)</v>
      </c>
      <c r="K923" s="1"/>
    </row>
    <row r="924" spans="1:11" x14ac:dyDescent="0.35">
      <c r="A924" t="s">
        <v>2929</v>
      </c>
      <c r="B924" t="s">
        <v>2930</v>
      </c>
      <c r="C924">
        <v>142199</v>
      </c>
      <c r="D924">
        <v>532</v>
      </c>
      <c r="E924">
        <v>27360</v>
      </c>
      <c r="F924">
        <v>8</v>
      </c>
      <c r="G924">
        <v>50</v>
      </c>
      <c r="H924" t="b">
        <v>0</v>
      </c>
      <c r="I924">
        <f t="shared" si="28"/>
        <v>0</v>
      </c>
      <c r="J924" t="str">
        <f t="shared" si="29"/>
        <v>451-600 (Fair)</v>
      </c>
      <c r="K924" s="1"/>
    </row>
    <row r="925" spans="1:11" x14ac:dyDescent="0.35">
      <c r="A925" t="s">
        <v>3597</v>
      </c>
      <c r="B925" t="s">
        <v>935</v>
      </c>
      <c r="C925">
        <v>141153</v>
      </c>
      <c r="D925">
        <v>656</v>
      </c>
      <c r="E925">
        <v>27358</v>
      </c>
      <c r="F925">
        <v>10</v>
      </c>
      <c r="G925">
        <v>70</v>
      </c>
      <c r="H925" t="b">
        <v>1</v>
      </c>
      <c r="I925">
        <f t="shared" si="28"/>
        <v>1</v>
      </c>
      <c r="J925" t="str">
        <f t="shared" si="29"/>
        <v>601-750 (Good)</v>
      </c>
      <c r="K925" s="1"/>
    </row>
    <row r="926" spans="1:11" x14ac:dyDescent="0.35">
      <c r="A926" t="s">
        <v>414</v>
      </c>
      <c r="B926" t="s">
        <v>415</v>
      </c>
      <c r="C926">
        <v>44621</v>
      </c>
      <c r="D926">
        <v>821</v>
      </c>
      <c r="E926">
        <v>27305</v>
      </c>
      <c r="F926">
        <v>32</v>
      </c>
      <c r="G926">
        <v>65</v>
      </c>
      <c r="H926" t="b">
        <v>1</v>
      </c>
      <c r="I926">
        <f t="shared" si="28"/>
        <v>1</v>
      </c>
      <c r="J926" t="str">
        <f t="shared" si="29"/>
        <v>751-850 (Excellent)</v>
      </c>
      <c r="K926" s="1"/>
    </row>
    <row r="927" spans="1:11" x14ac:dyDescent="0.35">
      <c r="A927" t="s">
        <v>663</v>
      </c>
      <c r="B927" t="s">
        <v>664</v>
      </c>
      <c r="C927">
        <v>42363</v>
      </c>
      <c r="D927">
        <v>347</v>
      </c>
      <c r="E927">
        <v>27275</v>
      </c>
      <c r="F927">
        <v>4</v>
      </c>
      <c r="G927">
        <v>15</v>
      </c>
      <c r="H927" t="b">
        <v>0</v>
      </c>
      <c r="I927">
        <f t="shared" si="28"/>
        <v>0</v>
      </c>
      <c r="J927" t="str">
        <f t="shared" si="29"/>
        <v>300-450 (Poor)</v>
      </c>
      <c r="K927" s="1"/>
    </row>
    <row r="928" spans="1:11" x14ac:dyDescent="0.35">
      <c r="A928" t="s">
        <v>1013</v>
      </c>
      <c r="B928" t="s">
        <v>1014</v>
      </c>
      <c r="C928">
        <v>146616</v>
      </c>
      <c r="D928">
        <v>673</v>
      </c>
      <c r="E928">
        <v>27253</v>
      </c>
      <c r="F928">
        <v>17</v>
      </c>
      <c r="G928">
        <v>80</v>
      </c>
      <c r="H928" t="b">
        <v>1</v>
      </c>
      <c r="I928">
        <f t="shared" si="28"/>
        <v>1</v>
      </c>
      <c r="J928" t="str">
        <f t="shared" si="29"/>
        <v>601-750 (Good)</v>
      </c>
      <c r="K928" s="1"/>
    </row>
    <row r="929" spans="1:11" x14ac:dyDescent="0.35">
      <c r="A929" t="s">
        <v>3037</v>
      </c>
      <c r="B929" t="s">
        <v>3038</v>
      </c>
      <c r="C929">
        <v>71505</v>
      </c>
      <c r="D929">
        <v>804</v>
      </c>
      <c r="E929">
        <v>27251</v>
      </c>
      <c r="F929">
        <v>34</v>
      </c>
      <c r="G929">
        <v>80</v>
      </c>
      <c r="H929" t="b">
        <v>1</v>
      </c>
      <c r="I929">
        <f t="shared" si="28"/>
        <v>1</v>
      </c>
      <c r="J929" t="str">
        <f t="shared" si="29"/>
        <v>751-850 (Excellent)</v>
      </c>
      <c r="K929" s="1"/>
    </row>
    <row r="930" spans="1:11" x14ac:dyDescent="0.35">
      <c r="A930" t="s">
        <v>2108</v>
      </c>
      <c r="B930" t="s">
        <v>2109</v>
      </c>
      <c r="C930">
        <v>66559</v>
      </c>
      <c r="D930">
        <v>516</v>
      </c>
      <c r="E930">
        <v>27240</v>
      </c>
      <c r="F930">
        <v>39</v>
      </c>
      <c r="G930">
        <v>35</v>
      </c>
      <c r="H930" t="b">
        <v>0</v>
      </c>
      <c r="I930">
        <f t="shared" si="28"/>
        <v>0</v>
      </c>
      <c r="J930" t="str">
        <f t="shared" si="29"/>
        <v>451-600 (Fair)</v>
      </c>
      <c r="K930" s="1"/>
    </row>
    <row r="931" spans="1:11" x14ac:dyDescent="0.35">
      <c r="A931" t="s">
        <v>1762</v>
      </c>
      <c r="B931" t="s">
        <v>1763</v>
      </c>
      <c r="C931">
        <v>141863</v>
      </c>
      <c r="D931">
        <v>510</v>
      </c>
      <c r="E931">
        <v>27234</v>
      </c>
      <c r="F931">
        <v>11</v>
      </c>
      <c r="G931">
        <v>55</v>
      </c>
      <c r="H931" t="b">
        <v>0</v>
      </c>
      <c r="I931">
        <f t="shared" si="28"/>
        <v>0</v>
      </c>
      <c r="J931" t="str">
        <f t="shared" si="29"/>
        <v>451-600 (Fair)</v>
      </c>
      <c r="K931" s="1"/>
    </row>
    <row r="932" spans="1:11" x14ac:dyDescent="0.35">
      <c r="A932" t="s">
        <v>2748</v>
      </c>
      <c r="B932" t="s">
        <v>2749</v>
      </c>
      <c r="C932">
        <v>56680</v>
      </c>
      <c r="D932">
        <v>730</v>
      </c>
      <c r="E932">
        <v>27234</v>
      </c>
      <c r="F932">
        <v>6</v>
      </c>
      <c r="G932">
        <v>55</v>
      </c>
      <c r="H932" t="b">
        <v>0</v>
      </c>
      <c r="I932">
        <f t="shared" si="28"/>
        <v>0</v>
      </c>
      <c r="J932" t="str">
        <f t="shared" si="29"/>
        <v>601-750 (Good)</v>
      </c>
      <c r="K932" s="1"/>
    </row>
    <row r="933" spans="1:11" x14ac:dyDescent="0.35">
      <c r="A933" t="s">
        <v>3212</v>
      </c>
      <c r="B933" t="s">
        <v>3213</v>
      </c>
      <c r="C933">
        <v>141848</v>
      </c>
      <c r="D933">
        <v>798</v>
      </c>
      <c r="E933">
        <v>27164</v>
      </c>
      <c r="F933">
        <v>29</v>
      </c>
      <c r="G933">
        <v>90</v>
      </c>
      <c r="H933" t="b">
        <v>1</v>
      </c>
      <c r="I933">
        <f t="shared" si="28"/>
        <v>1</v>
      </c>
      <c r="J933" t="str">
        <f t="shared" si="29"/>
        <v>751-850 (Excellent)</v>
      </c>
      <c r="K933" s="1"/>
    </row>
    <row r="934" spans="1:11" x14ac:dyDescent="0.35">
      <c r="A934" t="s">
        <v>2742</v>
      </c>
      <c r="B934" t="s">
        <v>2743</v>
      </c>
      <c r="C934">
        <v>87939</v>
      </c>
      <c r="D934">
        <v>749</v>
      </c>
      <c r="E934">
        <v>27160</v>
      </c>
      <c r="F934">
        <v>12</v>
      </c>
      <c r="G934">
        <v>80</v>
      </c>
      <c r="H934" t="b">
        <v>1</v>
      </c>
      <c r="I934">
        <f t="shared" si="28"/>
        <v>1</v>
      </c>
      <c r="J934" t="str">
        <f t="shared" si="29"/>
        <v>601-750 (Good)</v>
      </c>
      <c r="K934" s="1"/>
    </row>
    <row r="935" spans="1:11" x14ac:dyDescent="0.35">
      <c r="A935" t="s">
        <v>2655</v>
      </c>
      <c r="B935" t="s">
        <v>2656</v>
      </c>
      <c r="C935">
        <v>41959</v>
      </c>
      <c r="D935">
        <v>599</v>
      </c>
      <c r="E935">
        <v>27109</v>
      </c>
      <c r="F935">
        <v>2</v>
      </c>
      <c r="G935">
        <v>30</v>
      </c>
      <c r="H935" t="b">
        <v>0</v>
      </c>
      <c r="I935">
        <f t="shared" si="28"/>
        <v>0</v>
      </c>
      <c r="J935" t="str">
        <f t="shared" si="29"/>
        <v>451-600 (Fair)</v>
      </c>
      <c r="K935" s="1"/>
    </row>
    <row r="936" spans="1:11" x14ac:dyDescent="0.35">
      <c r="A936" t="s">
        <v>2834</v>
      </c>
      <c r="B936" t="s">
        <v>2835</v>
      </c>
      <c r="C936">
        <v>102255</v>
      </c>
      <c r="D936">
        <v>482</v>
      </c>
      <c r="E936">
        <v>27081</v>
      </c>
      <c r="F936">
        <v>39</v>
      </c>
      <c r="G936">
        <v>50</v>
      </c>
      <c r="H936" t="b">
        <v>0</v>
      </c>
      <c r="I936">
        <f t="shared" si="28"/>
        <v>0</v>
      </c>
      <c r="J936" t="str">
        <f t="shared" si="29"/>
        <v>451-600 (Fair)</v>
      </c>
      <c r="K936" s="1"/>
    </row>
    <row r="937" spans="1:11" x14ac:dyDescent="0.35">
      <c r="A937" t="s">
        <v>1005</v>
      </c>
      <c r="B937" t="s">
        <v>1006</v>
      </c>
      <c r="C937">
        <v>145097</v>
      </c>
      <c r="D937">
        <v>586</v>
      </c>
      <c r="E937">
        <v>27075</v>
      </c>
      <c r="F937">
        <v>14</v>
      </c>
      <c r="G937">
        <v>70</v>
      </c>
      <c r="H937" t="b">
        <v>1</v>
      </c>
      <c r="I937">
        <f t="shared" si="28"/>
        <v>1</v>
      </c>
      <c r="J937" t="str">
        <f t="shared" si="29"/>
        <v>451-600 (Fair)</v>
      </c>
      <c r="K937" s="1"/>
    </row>
    <row r="938" spans="1:11" x14ac:dyDescent="0.35">
      <c r="A938" t="s">
        <v>865</v>
      </c>
      <c r="B938" t="s">
        <v>866</v>
      </c>
      <c r="C938">
        <v>38907</v>
      </c>
      <c r="D938">
        <v>580</v>
      </c>
      <c r="E938">
        <v>27074</v>
      </c>
      <c r="F938">
        <v>21</v>
      </c>
      <c r="G938">
        <v>40</v>
      </c>
      <c r="H938" t="b">
        <v>0</v>
      </c>
      <c r="I938">
        <f t="shared" si="28"/>
        <v>0</v>
      </c>
      <c r="J938" t="str">
        <f t="shared" si="29"/>
        <v>451-600 (Fair)</v>
      </c>
      <c r="K938" s="1"/>
    </row>
    <row r="939" spans="1:11" x14ac:dyDescent="0.35">
      <c r="A939" t="s">
        <v>3470</v>
      </c>
      <c r="B939" t="s">
        <v>3471</v>
      </c>
      <c r="C939">
        <v>149964</v>
      </c>
      <c r="D939">
        <v>699</v>
      </c>
      <c r="E939">
        <v>27072</v>
      </c>
      <c r="F939">
        <v>38</v>
      </c>
      <c r="G939">
        <v>80</v>
      </c>
      <c r="H939" t="b">
        <v>1</v>
      </c>
      <c r="I939">
        <f t="shared" si="28"/>
        <v>1</v>
      </c>
      <c r="J939" t="str">
        <f t="shared" si="29"/>
        <v>601-750 (Good)</v>
      </c>
      <c r="K939" s="1"/>
    </row>
    <row r="940" spans="1:11" x14ac:dyDescent="0.35">
      <c r="A940" t="s">
        <v>446</v>
      </c>
      <c r="B940" t="s">
        <v>447</v>
      </c>
      <c r="C940">
        <v>144100</v>
      </c>
      <c r="D940">
        <v>337</v>
      </c>
      <c r="E940">
        <v>27017</v>
      </c>
      <c r="F940">
        <v>31</v>
      </c>
      <c r="G940">
        <v>55</v>
      </c>
      <c r="H940" t="b">
        <v>0</v>
      </c>
      <c r="I940">
        <f t="shared" si="28"/>
        <v>0</v>
      </c>
      <c r="J940" t="str">
        <f t="shared" si="29"/>
        <v>300-450 (Poor)</v>
      </c>
      <c r="K940" s="1"/>
    </row>
    <row r="941" spans="1:11" x14ac:dyDescent="0.35">
      <c r="A941" t="s">
        <v>769</v>
      </c>
      <c r="B941" t="s">
        <v>770</v>
      </c>
      <c r="C941">
        <v>58016</v>
      </c>
      <c r="D941">
        <v>817</v>
      </c>
      <c r="E941">
        <v>27014</v>
      </c>
      <c r="F941">
        <v>40</v>
      </c>
      <c r="G941">
        <v>75</v>
      </c>
      <c r="H941" t="b">
        <v>1</v>
      </c>
      <c r="I941">
        <f t="shared" si="28"/>
        <v>1</v>
      </c>
      <c r="J941" t="str">
        <f t="shared" si="29"/>
        <v>751-850 (Excellent)</v>
      </c>
      <c r="K941" s="1"/>
    </row>
    <row r="942" spans="1:11" x14ac:dyDescent="0.35">
      <c r="A942" t="s">
        <v>932</v>
      </c>
      <c r="B942" t="s">
        <v>933</v>
      </c>
      <c r="C942">
        <v>128548</v>
      </c>
      <c r="D942">
        <v>392</v>
      </c>
      <c r="E942">
        <v>27003</v>
      </c>
      <c r="F942">
        <v>23</v>
      </c>
      <c r="G942">
        <v>55</v>
      </c>
      <c r="H942" t="b">
        <v>0</v>
      </c>
      <c r="I942">
        <f t="shared" si="28"/>
        <v>0</v>
      </c>
      <c r="J942" t="str">
        <f t="shared" si="29"/>
        <v>300-450 (Poor)</v>
      </c>
      <c r="K942" s="1"/>
    </row>
    <row r="943" spans="1:11" x14ac:dyDescent="0.35">
      <c r="A943" t="s">
        <v>1831</v>
      </c>
      <c r="B943" t="s">
        <v>1832</v>
      </c>
      <c r="C943">
        <v>103975</v>
      </c>
      <c r="D943">
        <v>499</v>
      </c>
      <c r="E943">
        <v>26996</v>
      </c>
      <c r="F943">
        <v>2</v>
      </c>
      <c r="G943">
        <v>40</v>
      </c>
      <c r="H943" t="b">
        <v>0</v>
      </c>
      <c r="I943">
        <f t="shared" si="28"/>
        <v>0</v>
      </c>
      <c r="J943" t="str">
        <f t="shared" si="29"/>
        <v>451-600 (Fair)</v>
      </c>
      <c r="K943" s="1"/>
    </row>
    <row r="944" spans="1:11" x14ac:dyDescent="0.35">
      <c r="A944" t="s">
        <v>1953</v>
      </c>
      <c r="B944" t="s">
        <v>1954</v>
      </c>
      <c r="C944">
        <v>128032</v>
      </c>
      <c r="D944">
        <v>546</v>
      </c>
      <c r="E944">
        <v>26994</v>
      </c>
      <c r="F944">
        <v>31</v>
      </c>
      <c r="G944">
        <v>55</v>
      </c>
      <c r="H944" t="b">
        <v>0</v>
      </c>
      <c r="I944">
        <f t="shared" si="28"/>
        <v>0</v>
      </c>
      <c r="J944" t="str">
        <f t="shared" si="29"/>
        <v>451-600 (Fair)</v>
      </c>
      <c r="K944" s="1"/>
    </row>
    <row r="945" spans="1:11" x14ac:dyDescent="0.35">
      <c r="A945" t="s">
        <v>3283</v>
      </c>
      <c r="B945" t="s">
        <v>3284</v>
      </c>
      <c r="C945">
        <v>113442</v>
      </c>
      <c r="D945">
        <v>560</v>
      </c>
      <c r="E945">
        <v>26874</v>
      </c>
      <c r="F945">
        <v>16</v>
      </c>
      <c r="G945">
        <v>55</v>
      </c>
      <c r="H945" t="b">
        <v>0</v>
      </c>
      <c r="I945">
        <f t="shared" si="28"/>
        <v>0</v>
      </c>
      <c r="J945" t="str">
        <f t="shared" si="29"/>
        <v>451-600 (Fair)</v>
      </c>
      <c r="K945" s="1"/>
    </row>
    <row r="946" spans="1:11" x14ac:dyDescent="0.35">
      <c r="A946" t="s">
        <v>1667</v>
      </c>
      <c r="B946" t="s">
        <v>1668</v>
      </c>
      <c r="C946">
        <v>61358</v>
      </c>
      <c r="D946">
        <v>831</v>
      </c>
      <c r="E946">
        <v>26872</v>
      </c>
      <c r="F946">
        <v>16</v>
      </c>
      <c r="G946">
        <v>75</v>
      </c>
      <c r="H946" t="b">
        <v>1</v>
      </c>
      <c r="I946">
        <f t="shared" si="28"/>
        <v>1</v>
      </c>
      <c r="J946" t="str">
        <f t="shared" si="29"/>
        <v>751-850 (Excellent)</v>
      </c>
      <c r="K946" s="1"/>
    </row>
    <row r="947" spans="1:11" x14ac:dyDescent="0.35">
      <c r="A947" t="s">
        <v>1563</v>
      </c>
      <c r="B947" t="s">
        <v>1564</v>
      </c>
      <c r="C947">
        <v>146059</v>
      </c>
      <c r="D947">
        <v>609</v>
      </c>
      <c r="E947">
        <v>26866</v>
      </c>
      <c r="F947">
        <v>23</v>
      </c>
      <c r="G947">
        <v>70</v>
      </c>
      <c r="H947" t="b">
        <v>1</v>
      </c>
      <c r="I947">
        <f t="shared" si="28"/>
        <v>1</v>
      </c>
      <c r="J947" t="str">
        <f t="shared" si="29"/>
        <v>601-750 (Good)</v>
      </c>
      <c r="K947" s="1"/>
    </row>
    <row r="948" spans="1:11" x14ac:dyDescent="0.35">
      <c r="A948" t="s">
        <v>434</v>
      </c>
      <c r="B948" t="s">
        <v>435</v>
      </c>
      <c r="C948">
        <v>95612</v>
      </c>
      <c r="D948">
        <v>688</v>
      </c>
      <c r="E948">
        <v>26856</v>
      </c>
      <c r="F948">
        <v>22</v>
      </c>
      <c r="G948">
        <v>70</v>
      </c>
      <c r="H948" t="b">
        <v>1</v>
      </c>
      <c r="I948">
        <f t="shared" si="28"/>
        <v>1</v>
      </c>
      <c r="J948" t="str">
        <f t="shared" si="29"/>
        <v>601-750 (Good)</v>
      </c>
      <c r="K948" s="1"/>
    </row>
    <row r="949" spans="1:11" x14ac:dyDescent="0.35">
      <c r="A949" t="s">
        <v>2067</v>
      </c>
      <c r="B949" t="s">
        <v>2068</v>
      </c>
      <c r="C949">
        <v>87080</v>
      </c>
      <c r="D949">
        <v>481</v>
      </c>
      <c r="E949">
        <v>26834</v>
      </c>
      <c r="F949">
        <v>38</v>
      </c>
      <c r="G949">
        <v>45</v>
      </c>
      <c r="H949" t="b">
        <v>0</v>
      </c>
      <c r="I949">
        <f t="shared" si="28"/>
        <v>0</v>
      </c>
      <c r="J949" t="str">
        <f t="shared" si="29"/>
        <v>451-600 (Fair)</v>
      </c>
      <c r="K949" s="1"/>
    </row>
    <row r="950" spans="1:11" x14ac:dyDescent="0.35">
      <c r="A950" t="s">
        <v>1158</v>
      </c>
      <c r="B950" t="s">
        <v>1159</v>
      </c>
      <c r="C950">
        <v>144650</v>
      </c>
      <c r="D950">
        <v>620</v>
      </c>
      <c r="E950">
        <v>26831</v>
      </c>
      <c r="F950">
        <v>39</v>
      </c>
      <c r="G950">
        <v>70</v>
      </c>
      <c r="H950" t="b">
        <v>1</v>
      </c>
      <c r="I950">
        <f t="shared" si="28"/>
        <v>1</v>
      </c>
      <c r="J950" t="str">
        <f t="shared" si="29"/>
        <v>601-750 (Good)</v>
      </c>
      <c r="K950" s="1"/>
    </row>
    <row r="951" spans="1:11" x14ac:dyDescent="0.35">
      <c r="A951" t="s">
        <v>1961</v>
      </c>
      <c r="B951" t="s">
        <v>1962</v>
      </c>
      <c r="C951">
        <v>137387</v>
      </c>
      <c r="D951">
        <v>320</v>
      </c>
      <c r="E951">
        <v>26807</v>
      </c>
      <c r="F951">
        <v>35</v>
      </c>
      <c r="G951">
        <v>55</v>
      </c>
      <c r="H951" t="b">
        <v>0</v>
      </c>
      <c r="I951">
        <f t="shared" si="28"/>
        <v>0</v>
      </c>
      <c r="J951" t="str">
        <f t="shared" si="29"/>
        <v>300-450 (Poor)</v>
      </c>
      <c r="K951" s="1"/>
    </row>
    <row r="952" spans="1:11" x14ac:dyDescent="0.35">
      <c r="A952" t="s">
        <v>3258</v>
      </c>
      <c r="B952" t="s">
        <v>3259</v>
      </c>
      <c r="C952">
        <v>109482</v>
      </c>
      <c r="D952">
        <v>332</v>
      </c>
      <c r="E952">
        <v>26781</v>
      </c>
      <c r="F952">
        <v>21</v>
      </c>
      <c r="G952">
        <v>55</v>
      </c>
      <c r="H952" t="b">
        <v>0</v>
      </c>
      <c r="I952">
        <f t="shared" si="28"/>
        <v>0</v>
      </c>
      <c r="J952" t="str">
        <f t="shared" si="29"/>
        <v>300-450 (Poor)</v>
      </c>
      <c r="K952" s="1"/>
    </row>
    <row r="953" spans="1:11" x14ac:dyDescent="0.35">
      <c r="A953" t="s">
        <v>1166</v>
      </c>
      <c r="B953" t="s">
        <v>1167</v>
      </c>
      <c r="C953">
        <v>50257</v>
      </c>
      <c r="D953">
        <v>438</v>
      </c>
      <c r="E953">
        <v>26760</v>
      </c>
      <c r="F953">
        <v>26</v>
      </c>
      <c r="G953">
        <v>35</v>
      </c>
      <c r="H953" t="b">
        <v>0</v>
      </c>
      <c r="I953">
        <f t="shared" si="28"/>
        <v>0</v>
      </c>
      <c r="J953" t="str">
        <f t="shared" si="29"/>
        <v>300-450 (Poor)</v>
      </c>
      <c r="K953" s="1"/>
    </row>
    <row r="954" spans="1:11" x14ac:dyDescent="0.35">
      <c r="A954" t="s">
        <v>857</v>
      </c>
      <c r="B954" t="s">
        <v>858</v>
      </c>
      <c r="C954">
        <v>141587</v>
      </c>
      <c r="D954">
        <v>423</v>
      </c>
      <c r="E954">
        <v>26748</v>
      </c>
      <c r="F954">
        <v>13</v>
      </c>
      <c r="G954">
        <v>55</v>
      </c>
      <c r="H954" t="b">
        <v>0</v>
      </c>
      <c r="I954">
        <f t="shared" si="28"/>
        <v>0</v>
      </c>
      <c r="J954" t="str">
        <f t="shared" si="29"/>
        <v>300-450 (Poor)</v>
      </c>
      <c r="K954" s="1"/>
    </row>
    <row r="955" spans="1:11" x14ac:dyDescent="0.35">
      <c r="A955" t="s">
        <v>930</v>
      </c>
      <c r="B955" t="s">
        <v>931</v>
      </c>
      <c r="C955">
        <v>71441</v>
      </c>
      <c r="D955">
        <v>674</v>
      </c>
      <c r="E955">
        <v>26722</v>
      </c>
      <c r="F955">
        <v>14</v>
      </c>
      <c r="G955">
        <v>65</v>
      </c>
      <c r="H955" t="b">
        <v>1</v>
      </c>
      <c r="I955">
        <f t="shared" si="28"/>
        <v>1</v>
      </c>
      <c r="J955" t="str">
        <f t="shared" si="29"/>
        <v>601-750 (Good)</v>
      </c>
      <c r="K955" s="1"/>
    </row>
    <row r="956" spans="1:11" x14ac:dyDescent="0.35">
      <c r="A956" t="s">
        <v>1228</v>
      </c>
      <c r="B956" t="s">
        <v>1229</v>
      </c>
      <c r="C956">
        <v>56158</v>
      </c>
      <c r="D956">
        <v>736</v>
      </c>
      <c r="E956">
        <v>26684</v>
      </c>
      <c r="F956">
        <v>11</v>
      </c>
      <c r="G956">
        <v>60</v>
      </c>
      <c r="H956" t="b">
        <v>1</v>
      </c>
      <c r="I956">
        <f t="shared" si="28"/>
        <v>1</v>
      </c>
      <c r="J956" t="str">
        <f t="shared" si="29"/>
        <v>601-750 (Good)</v>
      </c>
      <c r="K956" s="1"/>
    </row>
    <row r="957" spans="1:11" x14ac:dyDescent="0.35">
      <c r="A957" t="s">
        <v>1310</v>
      </c>
      <c r="B957" t="s">
        <v>1311</v>
      </c>
      <c r="C957">
        <v>71114</v>
      </c>
      <c r="D957">
        <v>637</v>
      </c>
      <c r="E957">
        <v>26646</v>
      </c>
      <c r="F957">
        <v>36</v>
      </c>
      <c r="G957">
        <v>55</v>
      </c>
      <c r="H957" t="b">
        <v>0</v>
      </c>
      <c r="I957">
        <f t="shared" si="28"/>
        <v>0</v>
      </c>
      <c r="J957" t="str">
        <f t="shared" si="29"/>
        <v>601-750 (Good)</v>
      </c>
      <c r="K957" s="1"/>
    </row>
    <row r="958" spans="1:11" x14ac:dyDescent="0.35">
      <c r="A958" t="s">
        <v>3254</v>
      </c>
      <c r="B958" t="s">
        <v>3255</v>
      </c>
      <c r="C958">
        <v>36428</v>
      </c>
      <c r="D958">
        <v>474</v>
      </c>
      <c r="E958">
        <v>26615</v>
      </c>
      <c r="F958">
        <v>31</v>
      </c>
      <c r="G958">
        <v>25</v>
      </c>
      <c r="H958" t="b">
        <v>0</v>
      </c>
      <c r="I958">
        <f t="shared" si="28"/>
        <v>0</v>
      </c>
      <c r="J958" t="str">
        <f t="shared" si="29"/>
        <v>451-600 (Fair)</v>
      </c>
      <c r="K958" s="1"/>
    </row>
    <row r="959" spans="1:11" x14ac:dyDescent="0.35">
      <c r="A959" t="s">
        <v>2326</v>
      </c>
      <c r="B959" t="s">
        <v>2327</v>
      </c>
      <c r="C959">
        <v>46551</v>
      </c>
      <c r="D959">
        <v>837</v>
      </c>
      <c r="E959">
        <v>26599</v>
      </c>
      <c r="F959">
        <v>32</v>
      </c>
      <c r="G959">
        <v>65</v>
      </c>
      <c r="H959" t="b">
        <v>1</v>
      </c>
      <c r="I959">
        <f t="shared" si="28"/>
        <v>1</v>
      </c>
      <c r="J959" t="str">
        <f t="shared" si="29"/>
        <v>751-850 (Excellent)</v>
      </c>
      <c r="K959" s="1"/>
    </row>
    <row r="960" spans="1:11" x14ac:dyDescent="0.35">
      <c r="A960" t="s">
        <v>1695</v>
      </c>
      <c r="B960" t="s">
        <v>1696</v>
      </c>
      <c r="C960">
        <v>49769</v>
      </c>
      <c r="D960">
        <v>605</v>
      </c>
      <c r="E960">
        <v>26555</v>
      </c>
      <c r="F960">
        <v>6</v>
      </c>
      <c r="G960">
        <v>35</v>
      </c>
      <c r="H960" t="b">
        <v>0</v>
      </c>
      <c r="I960">
        <f t="shared" si="28"/>
        <v>0</v>
      </c>
      <c r="J960" t="str">
        <f t="shared" si="29"/>
        <v>601-750 (Good)</v>
      </c>
      <c r="K960" s="1"/>
    </row>
    <row r="961" spans="1:11" x14ac:dyDescent="0.35">
      <c r="A961" t="s">
        <v>1060</v>
      </c>
      <c r="B961" t="s">
        <v>1061</v>
      </c>
      <c r="C961">
        <v>85518</v>
      </c>
      <c r="D961">
        <v>784</v>
      </c>
      <c r="E961">
        <v>26501</v>
      </c>
      <c r="F961">
        <v>19</v>
      </c>
      <c r="G961">
        <v>80</v>
      </c>
      <c r="H961" t="b">
        <v>1</v>
      </c>
      <c r="I961">
        <f t="shared" si="28"/>
        <v>1</v>
      </c>
      <c r="J961" t="str">
        <f t="shared" si="29"/>
        <v>751-850 (Excellent)</v>
      </c>
      <c r="K961" s="1"/>
    </row>
    <row r="962" spans="1:11" x14ac:dyDescent="0.35">
      <c r="A962" t="s">
        <v>1815</v>
      </c>
      <c r="B962" t="s">
        <v>1816</v>
      </c>
      <c r="C962">
        <v>91261</v>
      </c>
      <c r="D962">
        <v>370</v>
      </c>
      <c r="E962">
        <v>26493</v>
      </c>
      <c r="F962">
        <v>13</v>
      </c>
      <c r="G962">
        <v>45</v>
      </c>
      <c r="H962" t="b">
        <v>0</v>
      </c>
      <c r="I962">
        <f t="shared" si="28"/>
        <v>0</v>
      </c>
      <c r="J962" t="str">
        <f t="shared" si="29"/>
        <v>300-450 (Poor)</v>
      </c>
      <c r="K962" s="1"/>
    </row>
    <row r="963" spans="1:11" x14ac:dyDescent="0.35">
      <c r="A963" t="s">
        <v>1587</v>
      </c>
      <c r="B963" t="s">
        <v>254</v>
      </c>
      <c r="C963">
        <v>62662</v>
      </c>
      <c r="D963">
        <v>466</v>
      </c>
      <c r="E963">
        <v>26460</v>
      </c>
      <c r="F963">
        <v>25</v>
      </c>
      <c r="G963">
        <v>35</v>
      </c>
      <c r="H963" t="b">
        <v>0</v>
      </c>
      <c r="I963">
        <f t="shared" si="28"/>
        <v>0</v>
      </c>
      <c r="J963" t="str">
        <f t="shared" si="29"/>
        <v>451-600 (Fair)</v>
      </c>
      <c r="K963" s="1"/>
    </row>
    <row r="964" spans="1:11" x14ac:dyDescent="0.35">
      <c r="A964" t="s">
        <v>3049</v>
      </c>
      <c r="B964" t="s">
        <v>1153</v>
      </c>
      <c r="C964">
        <v>144344</v>
      </c>
      <c r="D964">
        <v>823</v>
      </c>
      <c r="E964">
        <v>26455</v>
      </c>
      <c r="F964">
        <v>10</v>
      </c>
      <c r="G964">
        <v>95</v>
      </c>
      <c r="H964" t="b">
        <v>1</v>
      </c>
      <c r="I964">
        <f t="shared" ref="I964:I1027" si="30">--H964</f>
        <v>1</v>
      </c>
      <c r="J964" t="str">
        <f t="shared" ref="J964:J1027" si="31">IF(D964&gt;750, "751-850 (Excellent)", IF(D964&gt;600, "601-750 (Good)", IF(D964&gt;450, "451-600 (Fair)", "300-450 (Poor)")))</f>
        <v>751-850 (Excellent)</v>
      </c>
      <c r="K964" s="1"/>
    </row>
    <row r="965" spans="1:11" x14ac:dyDescent="0.35">
      <c r="A965" t="s">
        <v>1933</v>
      </c>
      <c r="B965" t="s">
        <v>1934</v>
      </c>
      <c r="C965">
        <v>44993</v>
      </c>
      <c r="D965">
        <v>494</v>
      </c>
      <c r="E965">
        <v>26437</v>
      </c>
      <c r="F965">
        <v>27</v>
      </c>
      <c r="G965">
        <v>25</v>
      </c>
      <c r="H965" t="b">
        <v>0</v>
      </c>
      <c r="I965">
        <f t="shared" si="30"/>
        <v>0</v>
      </c>
      <c r="J965" t="str">
        <f t="shared" si="31"/>
        <v>451-600 (Fair)</v>
      </c>
      <c r="K965" s="1"/>
    </row>
    <row r="966" spans="1:11" x14ac:dyDescent="0.35">
      <c r="A966" t="s">
        <v>904</v>
      </c>
      <c r="B966" t="s">
        <v>905</v>
      </c>
      <c r="C966">
        <v>64179</v>
      </c>
      <c r="D966">
        <v>717</v>
      </c>
      <c r="E966">
        <v>26430</v>
      </c>
      <c r="F966">
        <v>28</v>
      </c>
      <c r="G966">
        <v>60</v>
      </c>
      <c r="H966" t="b">
        <v>1</v>
      </c>
      <c r="I966">
        <f t="shared" si="30"/>
        <v>1</v>
      </c>
      <c r="J966" t="str">
        <f t="shared" si="31"/>
        <v>601-750 (Good)</v>
      </c>
      <c r="K966" s="1"/>
    </row>
    <row r="967" spans="1:11" x14ac:dyDescent="0.35">
      <c r="A967" t="s">
        <v>1152</v>
      </c>
      <c r="B967" t="s">
        <v>1153</v>
      </c>
      <c r="C967">
        <v>132251</v>
      </c>
      <c r="D967">
        <v>488</v>
      </c>
      <c r="E967">
        <v>26392</v>
      </c>
      <c r="F967">
        <v>31</v>
      </c>
      <c r="G967">
        <v>55</v>
      </c>
      <c r="H967" t="b">
        <v>0</v>
      </c>
      <c r="I967">
        <f t="shared" si="30"/>
        <v>0</v>
      </c>
      <c r="J967" t="str">
        <f t="shared" si="31"/>
        <v>451-600 (Fair)</v>
      </c>
      <c r="K967" s="1"/>
    </row>
    <row r="968" spans="1:11" x14ac:dyDescent="0.35">
      <c r="A968" t="s">
        <v>3052</v>
      </c>
      <c r="B968" t="s">
        <v>3053</v>
      </c>
      <c r="C968">
        <v>34705</v>
      </c>
      <c r="D968">
        <v>342</v>
      </c>
      <c r="E968">
        <v>26392</v>
      </c>
      <c r="F968">
        <v>6</v>
      </c>
      <c r="G968">
        <v>20</v>
      </c>
      <c r="H968" t="b">
        <v>0</v>
      </c>
      <c r="I968">
        <f t="shared" si="30"/>
        <v>0</v>
      </c>
      <c r="J968" t="str">
        <f t="shared" si="31"/>
        <v>300-450 (Poor)</v>
      </c>
      <c r="K968" s="1"/>
    </row>
    <row r="969" spans="1:11" x14ac:dyDescent="0.35">
      <c r="A969" t="s">
        <v>863</v>
      </c>
      <c r="B969" t="s">
        <v>864</v>
      </c>
      <c r="C969">
        <v>107992</v>
      </c>
      <c r="D969">
        <v>406</v>
      </c>
      <c r="E969">
        <v>26389</v>
      </c>
      <c r="F969">
        <v>38</v>
      </c>
      <c r="G969">
        <v>55</v>
      </c>
      <c r="H969" t="b">
        <v>0</v>
      </c>
      <c r="I969">
        <f t="shared" si="30"/>
        <v>0</v>
      </c>
      <c r="J969" t="str">
        <f t="shared" si="31"/>
        <v>300-450 (Poor)</v>
      </c>
      <c r="K969" s="1"/>
    </row>
    <row r="970" spans="1:11" x14ac:dyDescent="0.35">
      <c r="A970" t="s">
        <v>1354</v>
      </c>
      <c r="B970" t="s">
        <v>1355</v>
      </c>
      <c r="C970">
        <v>55825</v>
      </c>
      <c r="D970">
        <v>482</v>
      </c>
      <c r="E970">
        <v>26384</v>
      </c>
      <c r="F970">
        <v>23</v>
      </c>
      <c r="G970">
        <v>35</v>
      </c>
      <c r="H970" t="b">
        <v>0</v>
      </c>
      <c r="I970">
        <f t="shared" si="30"/>
        <v>0</v>
      </c>
      <c r="J970" t="str">
        <f t="shared" si="31"/>
        <v>451-600 (Fair)</v>
      </c>
      <c r="K970" s="1"/>
    </row>
    <row r="971" spans="1:11" x14ac:dyDescent="0.35">
      <c r="A971" t="s">
        <v>3112</v>
      </c>
      <c r="B971" t="s">
        <v>3113</v>
      </c>
      <c r="C971">
        <v>49080</v>
      </c>
      <c r="D971">
        <v>305</v>
      </c>
      <c r="E971">
        <v>26382</v>
      </c>
      <c r="F971">
        <v>11</v>
      </c>
      <c r="G971">
        <v>25</v>
      </c>
      <c r="H971" t="b">
        <v>0</v>
      </c>
      <c r="I971">
        <f t="shared" si="30"/>
        <v>0</v>
      </c>
      <c r="J971" t="str">
        <f t="shared" si="31"/>
        <v>300-450 (Poor)</v>
      </c>
      <c r="K971" s="1"/>
    </row>
    <row r="972" spans="1:11" x14ac:dyDescent="0.35">
      <c r="A972" t="s">
        <v>3160</v>
      </c>
      <c r="B972" t="s">
        <v>3161</v>
      </c>
      <c r="C972">
        <v>63289</v>
      </c>
      <c r="D972">
        <v>747</v>
      </c>
      <c r="E972">
        <v>26354</v>
      </c>
      <c r="F972">
        <v>20</v>
      </c>
      <c r="G972">
        <v>70</v>
      </c>
      <c r="H972" t="b">
        <v>1</v>
      </c>
      <c r="I972">
        <f t="shared" si="30"/>
        <v>1</v>
      </c>
      <c r="J972" t="str">
        <f t="shared" si="31"/>
        <v>601-750 (Good)</v>
      </c>
      <c r="K972" s="1"/>
    </row>
    <row r="973" spans="1:11" x14ac:dyDescent="0.35">
      <c r="A973" t="s">
        <v>361</v>
      </c>
      <c r="B973" t="s">
        <v>362</v>
      </c>
      <c r="C973">
        <v>112240</v>
      </c>
      <c r="D973">
        <v>750</v>
      </c>
      <c r="E973">
        <v>26339</v>
      </c>
      <c r="F973">
        <v>21</v>
      </c>
      <c r="G973">
        <v>90</v>
      </c>
      <c r="H973" t="b">
        <v>1</v>
      </c>
      <c r="I973">
        <f t="shared" si="30"/>
        <v>1</v>
      </c>
      <c r="J973" t="str">
        <f t="shared" si="31"/>
        <v>601-750 (Good)</v>
      </c>
      <c r="K973" s="1"/>
    </row>
    <row r="974" spans="1:11" x14ac:dyDescent="0.35">
      <c r="A974" t="s">
        <v>1412</v>
      </c>
      <c r="B974" t="s">
        <v>1413</v>
      </c>
      <c r="C974">
        <v>128059</v>
      </c>
      <c r="D974">
        <v>678</v>
      </c>
      <c r="E974">
        <v>26304</v>
      </c>
      <c r="F974">
        <v>23</v>
      </c>
      <c r="G974">
        <v>80</v>
      </c>
      <c r="H974" t="b">
        <v>1</v>
      </c>
      <c r="I974">
        <f t="shared" si="30"/>
        <v>1</v>
      </c>
      <c r="J974" t="str">
        <f t="shared" si="31"/>
        <v>601-750 (Good)</v>
      </c>
      <c r="K974" s="1"/>
    </row>
    <row r="975" spans="1:11" x14ac:dyDescent="0.35">
      <c r="A975" t="s">
        <v>639</v>
      </c>
      <c r="B975" t="s">
        <v>640</v>
      </c>
      <c r="C975">
        <v>47342</v>
      </c>
      <c r="D975">
        <v>806</v>
      </c>
      <c r="E975">
        <v>26289</v>
      </c>
      <c r="F975">
        <v>7</v>
      </c>
      <c r="G975">
        <v>60</v>
      </c>
      <c r="H975" t="b">
        <v>1</v>
      </c>
      <c r="I975">
        <f t="shared" si="30"/>
        <v>1</v>
      </c>
      <c r="J975" t="str">
        <f t="shared" si="31"/>
        <v>751-850 (Excellent)</v>
      </c>
      <c r="K975" s="1"/>
    </row>
    <row r="976" spans="1:11" x14ac:dyDescent="0.35">
      <c r="A976" t="s">
        <v>1811</v>
      </c>
      <c r="B976" t="s">
        <v>1812</v>
      </c>
      <c r="C976">
        <v>51632</v>
      </c>
      <c r="D976">
        <v>371</v>
      </c>
      <c r="E976">
        <v>26289</v>
      </c>
      <c r="F976">
        <v>18</v>
      </c>
      <c r="G976">
        <v>35</v>
      </c>
      <c r="H976" t="b">
        <v>0</v>
      </c>
      <c r="I976">
        <f t="shared" si="30"/>
        <v>0</v>
      </c>
      <c r="J976" t="str">
        <f t="shared" si="31"/>
        <v>300-450 (Poor)</v>
      </c>
      <c r="K976" s="1"/>
    </row>
    <row r="977" spans="1:11" x14ac:dyDescent="0.35">
      <c r="A977" t="s">
        <v>2321</v>
      </c>
      <c r="B977" t="s">
        <v>2322</v>
      </c>
      <c r="C977">
        <v>102529</v>
      </c>
      <c r="D977">
        <v>700</v>
      </c>
      <c r="E977">
        <v>26285</v>
      </c>
      <c r="F977">
        <v>6</v>
      </c>
      <c r="G977">
        <v>70</v>
      </c>
      <c r="H977" t="b">
        <v>1</v>
      </c>
      <c r="I977">
        <f t="shared" si="30"/>
        <v>1</v>
      </c>
      <c r="J977" t="str">
        <f t="shared" si="31"/>
        <v>601-750 (Good)</v>
      </c>
      <c r="K977" s="1"/>
    </row>
    <row r="978" spans="1:11" x14ac:dyDescent="0.35">
      <c r="A978" t="s">
        <v>103</v>
      </c>
      <c r="B978" t="s">
        <v>104</v>
      </c>
      <c r="C978">
        <v>85392</v>
      </c>
      <c r="D978">
        <v>418</v>
      </c>
      <c r="E978">
        <v>26244</v>
      </c>
      <c r="F978">
        <v>36</v>
      </c>
      <c r="G978">
        <v>45</v>
      </c>
      <c r="H978" t="b">
        <v>0</v>
      </c>
      <c r="I978">
        <f t="shared" si="30"/>
        <v>0</v>
      </c>
      <c r="J978" t="str">
        <f t="shared" si="31"/>
        <v>300-450 (Poor)</v>
      </c>
      <c r="K978" s="1"/>
    </row>
    <row r="979" spans="1:11" x14ac:dyDescent="0.35">
      <c r="A979" t="s">
        <v>2774</v>
      </c>
      <c r="B979" t="s">
        <v>2775</v>
      </c>
      <c r="C979">
        <v>134767</v>
      </c>
      <c r="D979">
        <v>335</v>
      </c>
      <c r="E979">
        <v>26233</v>
      </c>
      <c r="F979">
        <v>40</v>
      </c>
      <c r="G979">
        <v>55</v>
      </c>
      <c r="H979" t="b">
        <v>0</v>
      </c>
      <c r="I979">
        <f t="shared" si="30"/>
        <v>0</v>
      </c>
      <c r="J979" t="str">
        <f t="shared" si="31"/>
        <v>300-450 (Poor)</v>
      </c>
      <c r="K979" s="1"/>
    </row>
    <row r="980" spans="1:11" x14ac:dyDescent="0.35">
      <c r="A980" t="s">
        <v>1372</v>
      </c>
      <c r="B980" t="s">
        <v>1373</v>
      </c>
      <c r="C980">
        <v>141151</v>
      </c>
      <c r="D980">
        <v>372</v>
      </c>
      <c r="E980">
        <v>26223</v>
      </c>
      <c r="F980">
        <v>21</v>
      </c>
      <c r="G980">
        <v>55</v>
      </c>
      <c r="H980" t="b">
        <v>0</v>
      </c>
      <c r="I980">
        <f t="shared" si="30"/>
        <v>0</v>
      </c>
      <c r="J980" t="str">
        <f t="shared" si="31"/>
        <v>300-450 (Poor)</v>
      </c>
      <c r="K980" s="1"/>
    </row>
    <row r="981" spans="1:11" x14ac:dyDescent="0.35">
      <c r="A981" t="s">
        <v>1058</v>
      </c>
      <c r="B981" t="s">
        <v>1059</v>
      </c>
      <c r="C981">
        <v>113136</v>
      </c>
      <c r="D981">
        <v>554</v>
      </c>
      <c r="E981">
        <v>26218</v>
      </c>
      <c r="F981">
        <v>28</v>
      </c>
      <c r="G981">
        <v>55</v>
      </c>
      <c r="H981" t="b">
        <v>0</v>
      </c>
      <c r="I981">
        <f t="shared" si="30"/>
        <v>0</v>
      </c>
      <c r="J981" t="str">
        <f t="shared" si="31"/>
        <v>451-600 (Fair)</v>
      </c>
      <c r="K981" s="1"/>
    </row>
    <row r="982" spans="1:11" x14ac:dyDescent="0.35">
      <c r="A982" t="s">
        <v>39</v>
      </c>
      <c r="B982" t="s">
        <v>40</v>
      </c>
      <c r="C982">
        <v>127080</v>
      </c>
      <c r="D982">
        <v>365</v>
      </c>
      <c r="E982">
        <v>26216</v>
      </c>
      <c r="F982">
        <v>24</v>
      </c>
      <c r="G982">
        <v>55</v>
      </c>
      <c r="H982" t="b">
        <v>0</v>
      </c>
      <c r="I982">
        <f t="shared" si="30"/>
        <v>0</v>
      </c>
      <c r="J982" t="str">
        <f t="shared" si="31"/>
        <v>300-450 (Poor)</v>
      </c>
      <c r="K982" s="1"/>
    </row>
    <row r="983" spans="1:11" x14ac:dyDescent="0.35">
      <c r="A983" t="s">
        <v>1823</v>
      </c>
      <c r="B983" t="s">
        <v>1824</v>
      </c>
      <c r="C983">
        <v>33534</v>
      </c>
      <c r="D983">
        <v>768</v>
      </c>
      <c r="E983">
        <v>26209</v>
      </c>
      <c r="F983">
        <v>11</v>
      </c>
      <c r="G983">
        <v>60</v>
      </c>
      <c r="H983" t="b">
        <v>1</v>
      </c>
      <c r="I983">
        <f t="shared" si="30"/>
        <v>1</v>
      </c>
      <c r="J983" t="str">
        <f t="shared" si="31"/>
        <v>751-850 (Excellent)</v>
      </c>
      <c r="K983" s="1"/>
    </row>
    <row r="984" spans="1:11" x14ac:dyDescent="0.35">
      <c r="A984" t="s">
        <v>1479</v>
      </c>
      <c r="B984" t="s">
        <v>1480</v>
      </c>
      <c r="C984">
        <v>97561</v>
      </c>
      <c r="D984">
        <v>421</v>
      </c>
      <c r="E984">
        <v>26141</v>
      </c>
      <c r="F984">
        <v>28</v>
      </c>
      <c r="G984">
        <v>45</v>
      </c>
      <c r="H984" t="b">
        <v>0</v>
      </c>
      <c r="I984">
        <f t="shared" si="30"/>
        <v>0</v>
      </c>
      <c r="J984" t="str">
        <f t="shared" si="31"/>
        <v>300-450 (Poor)</v>
      </c>
      <c r="K984" s="1"/>
    </row>
    <row r="985" spans="1:11" x14ac:dyDescent="0.35">
      <c r="A985" t="s">
        <v>3208</v>
      </c>
      <c r="B985" t="s">
        <v>3209</v>
      </c>
      <c r="C985">
        <v>56111</v>
      </c>
      <c r="D985">
        <v>722</v>
      </c>
      <c r="E985">
        <v>26072</v>
      </c>
      <c r="F985">
        <v>24</v>
      </c>
      <c r="G985">
        <v>60</v>
      </c>
      <c r="H985" t="b">
        <v>1</v>
      </c>
      <c r="I985">
        <f t="shared" si="30"/>
        <v>1</v>
      </c>
      <c r="J985" t="str">
        <f t="shared" si="31"/>
        <v>601-750 (Good)</v>
      </c>
      <c r="K985" s="1"/>
    </row>
    <row r="986" spans="1:11" x14ac:dyDescent="0.35">
      <c r="A986" t="s">
        <v>2534</v>
      </c>
      <c r="B986" t="s">
        <v>1556</v>
      </c>
      <c r="C986">
        <v>64816</v>
      </c>
      <c r="D986">
        <v>495</v>
      </c>
      <c r="E986">
        <v>26064</v>
      </c>
      <c r="F986">
        <v>23</v>
      </c>
      <c r="G986">
        <v>35</v>
      </c>
      <c r="H986" t="b">
        <v>0</v>
      </c>
      <c r="I986">
        <f t="shared" si="30"/>
        <v>0</v>
      </c>
      <c r="J986" t="str">
        <f t="shared" si="31"/>
        <v>451-600 (Fair)</v>
      </c>
      <c r="K986" s="1"/>
    </row>
    <row r="987" spans="1:11" x14ac:dyDescent="0.35">
      <c r="A987" t="s">
        <v>1974</v>
      </c>
      <c r="B987" t="s">
        <v>1975</v>
      </c>
      <c r="C987">
        <v>105470</v>
      </c>
      <c r="D987">
        <v>566</v>
      </c>
      <c r="E987">
        <v>26020</v>
      </c>
      <c r="F987">
        <v>10</v>
      </c>
      <c r="G987">
        <v>55</v>
      </c>
      <c r="H987" t="b">
        <v>0</v>
      </c>
      <c r="I987">
        <f t="shared" si="30"/>
        <v>0</v>
      </c>
      <c r="J987" t="str">
        <f t="shared" si="31"/>
        <v>451-600 (Fair)</v>
      </c>
      <c r="K987" s="1"/>
    </row>
    <row r="988" spans="1:11" x14ac:dyDescent="0.35">
      <c r="A988" t="s">
        <v>908</v>
      </c>
      <c r="B988" t="s">
        <v>909</v>
      </c>
      <c r="C988">
        <v>117782</v>
      </c>
      <c r="D988">
        <v>748</v>
      </c>
      <c r="E988">
        <v>25996</v>
      </c>
      <c r="F988">
        <v>25</v>
      </c>
      <c r="G988">
        <v>90</v>
      </c>
      <c r="H988" t="b">
        <v>1</v>
      </c>
      <c r="I988">
        <f t="shared" si="30"/>
        <v>1</v>
      </c>
      <c r="J988" t="str">
        <f t="shared" si="31"/>
        <v>601-750 (Good)</v>
      </c>
      <c r="K988" s="1"/>
    </row>
    <row r="989" spans="1:11" x14ac:dyDescent="0.35">
      <c r="A989" t="s">
        <v>894</v>
      </c>
      <c r="B989" t="s">
        <v>895</v>
      </c>
      <c r="C989">
        <v>116163</v>
      </c>
      <c r="D989">
        <v>628</v>
      </c>
      <c r="E989">
        <v>25993</v>
      </c>
      <c r="F989">
        <v>7</v>
      </c>
      <c r="G989">
        <v>65</v>
      </c>
      <c r="H989" t="b">
        <v>1</v>
      </c>
      <c r="I989">
        <f t="shared" si="30"/>
        <v>1</v>
      </c>
      <c r="J989" t="str">
        <f t="shared" si="31"/>
        <v>601-750 (Good)</v>
      </c>
      <c r="K989" s="1"/>
    </row>
    <row r="990" spans="1:11" x14ac:dyDescent="0.35">
      <c r="A990" t="s">
        <v>3569</v>
      </c>
      <c r="B990" t="s">
        <v>3570</v>
      </c>
      <c r="C990">
        <v>142125</v>
      </c>
      <c r="D990">
        <v>699</v>
      </c>
      <c r="E990">
        <v>25965</v>
      </c>
      <c r="F990">
        <v>39</v>
      </c>
      <c r="G990">
        <v>80</v>
      </c>
      <c r="H990" t="b">
        <v>1</v>
      </c>
      <c r="I990">
        <f t="shared" si="30"/>
        <v>1</v>
      </c>
      <c r="J990" t="str">
        <f t="shared" si="31"/>
        <v>601-750 (Good)</v>
      </c>
      <c r="K990" s="1"/>
    </row>
    <row r="991" spans="1:11" x14ac:dyDescent="0.35">
      <c r="A991" t="s">
        <v>3315</v>
      </c>
      <c r="B991" t="s">
        <v>3316</v>
      </c>
      <c r="C991">
        <v>114717</v>
      </c>
      <c r="D991">
        <v>564</v>
      </c>
      <c r="E991">
        <v>25876</v>
      </c>
      <c r="F991">
        <v>9</v>
      </c>
      <c r="G991">
        <v>50</v>
      </c>
      <c r="H991" t="b">
        <v>0</v>
      </c>
      <c r="I991">
        <f t="shared" si="30"/>
        <v>0</v>
      </c>
      <c r="J991" t="str">
        <f t="shared" si="31"/>
        <v>451-600 (Fair)</v>
      </c>
      <c r="K991" s="1"/>
    </row>
    <row r="992" spans="1:11" x14ac:dyDescent="0.35">
      <c r="A992" t="s">
        <v>3409</v>
      </c>
      <c r="B992" t="s">
        <v>3410</v>
      </c>
      <c r="C992">
        <v>82089</v>
      </c>
      <c r="D992">
        <v>620</v>
      </c>
      <c r="E992">
        <v>25841</v>
      </c>
      <c r="F992">
        <v>7</v>
      </c>
      <c r="G992">
        <v>55</v>
      </c>
      <c r="H992" t="b">
        <v>0</v>
      </c>
      <c r="I992">
        <f t="shared" si="30"/>
        <v>0</v>
      </c>
      <c r="J992" t="str">
        <f t="shared" si="31"/>
        <v>601-750 (Good)</v>
      </c>
      <c r="K992" s="1"/>
    </row>
    <row r="993" spans="1:11" x14ac:dyDescent="0.35">
      <c r="A993" t="s">
        <v>726</v>
      </c>
      <c r="B993" t="s">
        <v>727</v>
      </c>
      <c r="C993">
        <v>62742</v>
      </c>
      <c r="D993">
        <v>804</v>
      </c>
      <c r="E993">
        <v>25819</v>
      </c>
      <c r="F993">
        <v>22</v>
      </c>
      <c r="G993">
        <v>75</v>
      </c>
      <c r="H993" t="b">
        <v>1</v>
      </c>
      <c r="I993">
        <f t="shared" si="30"/>
        <v>1</v>
      </c>
      <c r="J993" t="str">
        <f t="shared" si="31"/>
        <v>751-850 (Excellent)</v>
      </c>
      <c r="K993" s="1"/>
    </row>
    <row r="994" spans="1:11" x14ac:dyDescent="0.35">
      <c r="A994" t="s">
        <v>1909</v>
      </c>
      <c r="B994" t="s">
        <v>1910</v>
      </c>
      <c r="C994">
        <v>128858</v>
      </c>
      <c r="D994">
        <v>708</v>
      </c>
      <c r="E994">
        <v>25801</v>
      </c>
      <c r="F994">
        <v>39</v>
      </c>
      <c r="G994">
        <v>80</v>
      </c>
      <c r="H994" t="b">
        <v>1</v>
      </c>
      <c r="I994">
        <f t="shared" si="30"/>
        <v>1</v>
      </c>
      <c r="J994" t="str">
        <f t="shared" si="31"/>
        <v>601-750 (Good)</v>
      </c>
      <c r="K994" s="1"/>
    </row>
    <row r="995" spans="1:11" x14ac:dyDescent="0.35">
      <c r="A995" t="s">
        <v>1048</v>
      </c>
      <c r="B995" t="s">
        <v>1049</v>
      </c>
      <c r="C995">
        <v>62914</v>
      </c>
      <c r="D995">
        <v>699</v>
      </c>
      <c r="E995">
        <v>25796</v>
      </c>
      <c r="F995">
        <v>14</v>
      </c>
      <c r="G995">
        <v>60</v>
      </c>
      <c r="H995" t="b">
        <v>1</v>
      </c>
      <c r="I995">
        <f t="shared" si="30"/>
        <v>1</v>
      </c>
      <c r="J995" t="str">
        <f t="shared" si="31"/>
        <v>601-750 (Good)</v>
      </c>
      <c r="K995" s="1"/>
    </row>
    <row r="996" spans="1:11" x14ac:dyDescent="0.35">
      <c r="A996" t="s">
        <v>958</v>
      </c>
      <c r="B996" t="s">
        <v>959</v>
      </c>
      <c r="C996">
        <v>75745</v>
      </c>
      <c r="D996">
        <v>535</v>
      </c>
      <c r="E996">
        <v>25786</v>
      </c>
      <c r="F996">
        <v>24</v>
      </c>
      <c r="G996">
        <v>45</v>
      </c>
      <c r="H996" t="b">
        <v>0</v>
      </c>
      <c r="I996">
        <f t="shared" si="30"/>
        <v>0</v>
      </c>
      <c r="J996" t="str">
        <f t="shared" si="31"/>
        <v>451-600 (Fair)</v>
      </c>
      <c r="K996" s="1"/>
    </row>
    <row r="997" spans="1:11" x14ac:dyDescent="0.35">
      <c r="A997" t="s">
        <v>2279</v>
      </c>
      <c r="B997" t="s">
        <v>2280</v>
      </c>
      <c r="C997">
        <v>124972</v>
      </c>
      <c r="D997">
        <v>498</v>
      </c>
      <c r="E997">
        <v>25758</v>
      </c>
      <c r="F997">
        <v>40</v>
      </c>
      <c r="G997">
        <v>55</v>
      </c>
      <c r="H997" t="b">
        <v>0</v>
      </c>
      <c r="I997">
        <f t="shared" si="30"/>
        <v>0</v>
      </c>
      <c r="J997" t="str">
        <f t="shared" si="31"/>
        <v>451-600 (Fair)</v>
      </c>
      <c r="K997" s="1"/>
    </row>
    <row r="998" spans="1:11" x14ac:dyDescent="0.35">
      <c r="A998" t="s">
        <v>476</v>
      </c>
      <c r="B998" t="s">
        <v>477</v>
      </c>
      <c r="C998">
        <v>30074</v>
      </c>
      <c r="D998">
        <v>759</v>
      </c>
      <c r="E998">
        <v>25739</v>
      </c>
      <c r="F998">
        <v>24</v>
      </c>
      <c r="G998">
        <v>60</v>
      </c>
      <c r="H998" t="b">
        <v>1</v>
      </c>
      <c r="I998">
        <f t="shared" si="30"/>
        <v>1</v>
      </c>
      <c r="J998" t="str">
        <f t="shared" si="31"/>
        <v>751-850 (Excellent)</v>
      </c>
      <c r="K998" s="1"/>
    </row>
    <row r="999" spans="1:11" x14ac:dyDescent="0.35">
      <c r="A999" t="s">
        <v>885</v>
      </c>
      <c r="B999" t="s">
        <v>11</v>
      </c>
      <c r="C999">
        <v>107924</v>
      </c>
      <c r="D999">
        <v>422</v>
      </c>
      <c r="E999">
        <v>25720</v>
      </c>
      <c r="F999">
        <v>2</v>
      </c>
      <c r="G999">
        <v>45</v>
      </c>
      <c r="H999" t="b">
        <v>0</v>
      </c>
      <c r="I999">
        <f t="shared" si="30"/>
        <v>0</v>
      </c>
      <c r="J999" t="str">
        <f t="shared" si="31"/>
        <v>300-450 (Poor)</v>
      </c>
      <c r="K999" s="1"/>
    </row>
    <row r="1000" spans="1:11" x14ac:dyDescent="0.35">
      <c r="A1000" t="s">
        <v>3870</v>
      </c>
      <c r="B1000" t="s">
        <v>3871</v>
      </c>
      <c r="C1000">
        <v>125631</v>
      </c>
      <c r="D1000">
        <v>765</v>
      </c>
      <c r="E1000">
        <v>25710</v>
      </c>
      <c r="F1000">
        <v>1</v>
      </c>
      <c r="G1000">
        <v>75</v>
      </c>
      <c r="H1000" t="b">
        <v>1</v>
      </c>
      <c r="I1000">
        <f t="shared" si="30"/>
        <v>1</v>
      </c>
      <c r="J1000" t="str">
        <f t="shared" si="31"/>
        <v>751-850 (Excellent)</v>
      </c>
      <c r="K1000" s="1"/>
    </row>
    <row r="1001" spans="1:11" x14ac:dyDescent="0.35">
      <c r="A1001" t="s">
        <v>1129</v>
      </c>
      <c r="B1001" t="s">
        <v>1130</v>
      </c>
      <c r="C1001">
        <v>77795</v>
      </c>
      <c r="D1001">
        <v>318</v>
      </c>
      <c r="E1001">
        <v>25681</v>
      </c>
      <c r="F1001">
        <v>37</v>
      </c>
      <c r="G1001">
        <v>45</v>
      </c>
      <c r="H1001" t="b">
        <v>0</v>
      </c>
      <c r="I1001">
        <f t="shared" si="30"/>
        <v>0</v>
      </c>
      <c r="J1001" t="str">
        <f t="shared" si="31"/>
        <v>300-450 (Poor)</v>
      </c>
      <c r="K1001" s="1"/>
    </row>
    <row r="1002" spans="1:11" x14ac:dyDescent="0.35">
      <c r="A1002" t="s">
        <v>3156</v>
      </c>
      <c r="B1002" t="s">
        <v>3157</v>
      </c>
      <c r="C1002">
        <v>90443</v>
      </c>
      <c r="D1002">
        <v>427</v>
      </c>
      <c r="E1002">
        <v>25678</v>
      </c>
      <c r="F1002">
        <v>35</v>
      </c>
      <c r="G1002">
        <v>45</v>
      </c>
      <c r="H1002" t="b">
        <v>0</v>
      </c>
      <c r="I1002">
        <f t="shared" si="30"/>
        <v>0</v>
      </c>
      <c r="J1002" t="str">
        <f t="shared" si="31"/>
        <v>300-450 (Poor)</v>
      </c>
      <c r="K1002" s="1"/>
    </row>
    <row r="1003" spans="1:11" x14ac:dyDescent="0.35">
      <c r="A1003" t="s">
        <v>558</v>
      </c>
      <c r="B1003" t="s">
        <v>559</v>
      </c>
      <c r="C1003">
        <v>56365</v>
      </c>
      <c r="D1003">
        <v>633</v>
      </c>
      <c r="E1003">
        <v>25645</v>
      </c>
      <c r="F1003">
        <v>17</v>
      </c>
      <c r="G1003">
        <v>50</v>
      </c>
      <c r="H1003" t="b">
        <v>0</v>
      </c>
      <c r="I1003">
        <f t="shared" si="30"/>
        <v>0</v>
      </c>
      <c r="J1003" t="str">
        <f t="shared" si="31"/>
        <v>601-750 (Good)</v>
      </c>
      <c r="K1003" s="1"/>
    </row>
    <row r="1004" spans="1:11" x14ac:dyDescent="0.35">
      <c r="A1004" t="s">
        <v>3528</v>
      </c>
      <c r="B1004" t="s">
        <v>3529</v>
      </c>
      <c r="C1004">
        <v>84935</v>
      </c>
      <c r="D1004">
        <v>653</v>
      </c>
      <c r="E1004">
        <v>25640</v>
      </c>
      <c r="F1004">
        <v>7</v>
      </c>
      <c r="G1004">
        <v>55</v>
      </c>
      <c r="H1004" t="b">
        <v>0</v>
      </c>
      <c r="I1004">
        <f t="shared" si="30"/>
        <v>0</v>
      </c>
      <c r="J1004" t="str">
        <f t="shared" si="31"/>
        <v>601-750 (Good)</v>
      </c>
      <c r="K1004" s="1"/>
    </row>
    <row r="1005" spans="1:11" x14ac:dyDescent="0.35">
      <c r="A1005" t="s">
        <v>2631</v>
      </c>
      <c r="B1005" t="s">
        <v>2632</v>
      </c>
      <c r="C1005">
        <v>52962</v>
      </c>
      <c r="D1005">
        <v>540</v>
      </c>
      <c r="E1005">
        <v>25594</v>
      </c>
      <c r="F1005">
        <v>34</v>
      </c>
      <c r="G1005">
        <v>35</v>
      </c>
      <c r="H1005" t="b">
        <v>0</v>
      </c>
      <c r="I1005">
        <f t="shared" si="30"/>
        <v>0</v>
      </c>
      <c r="J1005" t="str">
        <f t="shared" si="31"/>
        <v>451-600 (Fair)</v>
      </c>
      <c r="K1005" s="1"/>
    </row>
    <row r="1006" spans="1:11" x14ac:dyDescent="0.35">
      <c r="A1006" t="s">
        <v>3785</v>
      </c>
      <c r="B1006" t="s">
        <v>3786</v>
      </c>
      <c r="C1006">
        <v>147868</v>
      </c>
      <c r="D1006">
        <v>685</v>
      </c>
      <c r="E1006">
        <v>25578</v>
      </c>
      <c r="F1006">
        <v>17</v>
      </c>
      <c r="G1006">
        <v>80</v>
      </c>
      <c r="H1006" t="b">
        <v>1</v>
      </c>
      <c r="I1006">
        <f t="shared" si="30"/>
        <v>1</v>
      </c>
      <c r="J1006" t="str">
        <f t="shared" si="31"/>
        <v>601-750 (Good)</v>
      </c>
      <c r="K1006" s="1"/>
    </row>
    <row r="1007" spans="1:11" x14ac:dyDescent="0.35">
      <c r="A1007" t="s">
        <v>221</v>
      </c>
      <c r="B1007" t="s">
        <v>222</v>
      </c>
      <c r="C1007">
        <v>119593</v>
      </c>
      <c r="D1007">
        <v>667</v>
      </c>
      <c r="E1007">
        <v>25565</v>
      </c>
      <c r="F1007">
        <v>27</v>
      </c>
      <c r="G1007">
        <v>70</v>
      </c>
      <c r="H1007" t="b">
        <v>1</v>
      </c>
      <c r="I1007">
        <f t="shared" si="30"/>
        <v>1</v>
      </c>
      <c r="J1007" t="str">
        <f t="shared" si="31"/>
        <v>601-750 (Good)</v>
      </c>
      <c r="K1007" s="1"/>
    </row>
    <row r="1008" spans="1:11" x14ac:dyDescent="0.35">
      <c r="A1008" t="s">
        <v>2935</v>
      </c>
      <c r="B1008" t="s">
        <v>2936</v>
      </c>
      <c r="C1008">
        <v>35720</v>
      </c>
      <c r="D1008">
        <v>718</v>
      </c>
      <c r="E1008">
        <v>25563</v>
      </c>
      <c r="F1008">
        <v>19</v>
      </c>
      <c r="G1008">
        <v>50</v>
      </c>
      <c r="H1008" t="b">
        <v>0</v>
      </c>
      <c r="I1008">
        <f t="shared" si="30"/>
        <v>0</v>
      </c>
      <c r="J1008" t="str">
        <f t="shared" si="31"/>
        <v>601-750 (Good)</v>
      </c>
      <c r="K1008" s="1"/>
    </row>
    <row r="1009" spans="1:11" x14ac:dyDescent="0.35">
      <c r="A1009" t="s">
        <v>1801</v>
      </c>
      <c r="B1009" t="s">
        <v>1802</v>
      </c>
      <c r="C1009">
        <v>117670</v>
      </c>
      <c r="D1009">
        <v>330</v>
      </c>
      <c r="E1009">
        <v>25556</v>
      </c>
      <c r="F1009">
        <v>8</v>
      </c>
      <c r="G1009">
        <v>50</v>
      </c>
      <c r="H1009" t="b">
        <v>0</v>
      </c>
      <c r="I1009">
        <f t="shared" si="30"/>
        <v>0</v>
      </c>
      <c r="J1009" t="str">
        <f t="shared" si="31"/>
        <v>300-450 (Poor)</v>
      </c>
      <c r="K1009" s="1"/>
    </row>
    <row r="1010" spans="1:11" x14ac:dyDescent="0.35">
      <c r="A1010" t="s">
        <v>1841</v>
      </c>
      <c r="B1010" t="s">
        <v>1842</v>
      </c>
      <c r="C1010">
        <v>86179</v>
      </c>
      <c r="D1010">
        <v>555</v>
      </c>
      <c r="E1010">
        <v>25552</v>
      </c>
      <c r="F1010">
        <v>15</v>
      </c>
      <c r="G1010">
        <v>45</v>
      </c>
      <c r="H1010" t="b">
        <v>0</v>
      </c>
      <c r="I1010">
        <f t="shared" si="30"/>
        <v>0</v>
      </c>
      <c r="J1010" t="str">
        <f t="shared" si="31"/>
        <v>451-600 (Fair)</v>
      </c>
      <c r="K1010" s="1"/>
    </row>
    <row r="1011" spans="1:11" x14ac:dyDescent="0.35">
      <c r="A1011" t="s">
        <v>2789</v>
      </c>
      <c r="B1011" t="s">
        <v>2790</v>
      </c>
      <c r="C1011">
        <v>83476</v>
      </c>
      <c r="D1011">
        <v>470</v>
      </c>
      <c r="E1011">
        <v>25541</v>
      </c>
      <c r="F1011">
        <v>10</v>
      </c>
      <c r="G1011">
        <v>45</v>
      </c>
      <c r="H1011" t="b">
        <v>0</v>
      </c>
      <c r="I1011">
        <f t="shared" si="30"/>
        <v>0</v>
      </c>
      <c r="J1011" t="str">
        <f t="shared" si="31"/>
        <v>451-600 (Fair)</v>
      </c>
      <c r="K1011" s="1"/>
    </row>
    <row r="1012" spans="1:11" x14ac:dyDescent="0.35">
      <c r="A1012" t="s">
        <v>2337</v>
      </c>
      <c r="B1012" t="s">
        <v>2338</v>
      </c>
      <c r="C1012">
        <v>144389</v>
      </c>
      <c r="D1012">
        <v>752</v>
      </c>
      <c r="E1012">
        <v>25531</v>
      </c>
      <c r="F1012">
        <v>38</v>
      </c>
      <c r="G1012">
        <v>90</v>
      </c>
      <c r="H1012" t="b">
        <v>1</v>
      </c>
      <c r="I1012">
        <f t="shared" si="30"/>
        <v>1</v>
      </c>
      <c r="J1012" t="str">
        <f t="shared" si="31"/>
        <v>751-850 (Excellent)</v>
      </c>
      <c r="K1012" s="1"/>
    </row>
    <row r="1013" spans="1:11" x14ac:dyDescent="0.35">
      <c r="A1013" t="s">
        <v>2212</v>
      </c>
      <c r="B1013" t="s">
        <v>2213</v>
      </c>
      <c r="C1013">
        <v>61890</v>
      </c>
      <c r="D1013">
        <v>661</v>
      </c>
      <c r="E1013">
        <v>25507</v>
      </c>
      <c r="F1013">
        <v>40</v>
      </c>
      <c r="G1013">
        <v>50</v>
      </c>
      <c r="H1013" t="b">
        <v>0</v>
      </c>
      <c r="I1013">
        <f t="shared" si="30"/>
        <v>0</v>
      </c>
      <c r="J1013" t="str">
        <f t="shared" si="31"/>
        <v>601-750 (Good)</v>
      </c>
      <c r="K1013" s="1"/>
    </row>
    <row r="1014" spans="1:11" x14ac:dyDescent="0.35">
      <c r="A1014" t="s">
        <v>2136</v>
      </c>
      <c r="B1014" t="s">
        <v>632</v>
      </c>
      <c r="C1014">
        <v>72600</v>
      </c>
      <c r="D1014">
        <v>621</v>
      </c>
      <c r="E1014">
        <v>25489</v>
      </c>
      <c r="F1014">
        <v>5</v>
      </c>
      <c r="G1014">
        <v>50</v>
      </c>
      <c r="H1014" t="b">
        <v>0</v>
      </c>
      <c r="I1014">
        <f t="shared" si="30"/>
        <v>0</v>
      </c>
      <c r="J1014" t="str">
        <f t="shared" si="31"/>
        <v>601-750 (Good)</v>
      </c>
      <c r="K1014" s="1"/>
    </row>
    <row r="1015" spans="1:11" x14ac:dyDescent="0.35">
      <c r="A1015" t="s">
        <v>516</v>
      </c>
      <c r="B1015" t="s">
        <v>517</v>
      </c>
      <c r="C1015">
        <v>136957</v>
      </c>
      <c r="D1015">
        <v>766</v>
      </c>
      <c r="E1015">
        <v>25458</v>
      </c>
      <c r="F1015">
        <v>3</v>
      </c>
      <c r="G1015">
        <v>80</v>
      </c>
      <c r="H1015" t="b">
        <v>1</v>
      </c>
      <c r="I1015">
        <f t="shared" si="30"/>
        <v>1</v>
      </c>
      <c r="J1015" t="str">
        <f t="shared" si="31"/>
        <v>751-850 (Excellent)</v>
      </c>
      <c r="K1015" s="1"/>
    </row>
    <row r="1016" spans="1:11" x14ac:dyDescent="0.35">
      <c r="A1016" t="s">
        <v>831</v>
      </c>
      <c r="B1016" t="s">
        <v>832</v>
      </c>
      <c r="C1016">
        <v>128038</v>
      </c>
      <c r="D1016">
        <v>395</v>
      </c>
      <c r="E1016">
        <v>25420</v>
      </c>
      <c r="F1016">
        <v>21</v>
      </c>
      <c r="G1016">
        <v>55</v>
      </c>
      <c r="H1016" t="b">
        <v>0</v>
      </c>
      <c r="I1016">
        <f t="shared" si="30"/>
        <v>0</v>
      </c>
      <c r="J1016" t="str">
        <f t="shared" si="31"/>
        <v>300-450 (Poor)</v>
      </c>
      <c r="K1016" s="1"/>
    </row>
    <row r="1017" spans="1:11" x14ac:dyDescent="0.35">
      <c r="A1017" t="s">
        <v>2897</v>
      </c>
      <c r="B1017" t="s">
        <v>2898</v>
      </c>
      <c r="C1017">
        <v>100592</v>
      </c>
      <c r="D1017">
        <v>533</v>
      </c>
      <c r="E1017">
        <v>25365</v>
      </c>
      <c r="F1017">
        <v>25</v>
      </c>
      <c r="G1017">
        <v>50</v>
      </c>
      <c r="H1017" t="b">
        <v>0</v>
      </c>
      <c r="I1017">
        <f t="shared" si="30"/>
        <v>0</v>
      </c>
      <c r="J1017" t="str">
        <f t="shared" si="31"/>
        <v>451-600 (Fair)</v>
      </c>
      <c r="K1017" s="1"/>
    </row>
    <row r="1018" spans="1:11" x14ac:dyDescent="0.35">
      <c r="A1018" t="s">
        <v>1096</v>
      </c>
      <c r="B1018" t="s">
        <v>1097</v>
      </c>
      <c r="C1018">
        <v>44663</v>
      </c>
      <c r="D1018">
        <v>632</v>
      </c>
      <c r="E1018">
        <v>25361</v>
      </c>
      <c r="F1018">
        <v>26</v>
      </c>
      <c r="G1018">
        <v>40</v>
      </c>
      <c r="H1018" t="b">
        <v>0</v>
      </c>
      <c r="I1018">
        <f t="shared" si="30"/>
        <v>0</v>
      </c>
      <c r="J1018" t="str">
        <f t="shared" si="31"/>
        <v>601-750 (Good)</v>
      </c>
      <c r="K1018" s="1"/>
    </row>
    <row r="1019" spans="1:11" x14ac:dyDescent="0.35">
      <c r="A1019" t="s">
        <v>2098</v>
      </c>
      <c r="B1019" t="s">
        <v>2099</v>
      </c>
      <c r="C1019">
        <v>72245</v>
      </c>
      <c r="D1019">
        <v>734</v>
      </c>
      <c r="E1019">
        <v>25358</v>
      </c>
      <c r="F1019">
        <v>3</v>
      </c>
      <c r="G1019">
        <v>55</v>
      </c>
      <c r="H1019" t="b">
        <v>0</v>
      </c>
      <c r="I1019">
        <f t="shared" si="30"/>
        <v>0</v>
      </c>
      <c r="J1019" t="str">
        <f t="shared" si="31"/>
        <v>601-750 (Good)</v>
      </c>
      <c r="K1019" s="1"/>
    </row>
    <row r="1020" spans="1:11" x14ac:dyDescent="0.35">
      <c r="A1020" t="s">
        <v>333</v>
      </c>
      <c r="B1020" t="s">
        <v>334</v>
      </c>
      <c r="C1020">
        <v>147679</v>
      </c>
      <c r="D1020">
        <v>792</v>
      </c>
      <c r="E1020">
        <v>25327</v>
      </c>
      <c r="F1020">
        <v>35</v>
      </c>
      <c r="G1020">
        <v>90</v>
      </c>
      <c r="H1020" t="b">
        <v>1</v>
      </c>
      <c r="I1020">
        <f t="shared" si="30"/>
        <v>1</v>
      </c>
      <c r="J1020" t="str">
        <f t="shared" si="31"/>
        <v>751-850 (Excellent)</v>
      </c>
      <c r="K1020" s="1"/>
    </row>
    <row r="1021" spans="1:11" x14ac:dyDescent="0.35">
      <c r="A1021" t="s">
        <v>3858</v>
      </c>
      <c r="B1021" t="s">
        <v>3859</v>
      </c>
      <c r="C1021">
        <v>84239</v>
      </c>
      <c r="D1021">
        <v>702</v>
      </c>
      <c r="E1021">
        <v>25311</v>
      </c>
      <c r="F1021">
        <v>19</v>
      </c>
      <c r="G1021">
        <v>70</v>
      </c>
      <c r="H1021" t="b">
        <v>1</v>
      </c>
      <c r="I1021">
        <f t="shared" si="30"/>
        <v>1</v>
      </c>
      <c r="J1021" t="str">
        <f t="shared" si="31"/>
        <v>601-750 (Good)</v>
      </c>
      <c r="K1021" s="1"/>
    </row>
    <row r="1022" spans="1:11" x14ac:dyDescent="0.35">
      <c r="A1022" t="s">
        <v>2162</v>
      </c>
      <c r="B1022" t="s">
        <v>2163</v>
      </c>
      <c r="C1022">
        <v>102848</v>
      </c>
      <c r="D1022">
        <v>314</v>
      </c>
      <c r="E1022">
        <v>25265</v>
      </c>
      <c r="F1022">
        <v>23</v>
      </c>
      <c r="G1022">
        <v>55</v>
      </c>
      <c r="H1022" t="b">
        <v>0</v>
      </c>
      <c r="I1022">
        <f t="shared" si="30"/>
        <v>0</v>
      </c>
      <c r="J1022" t="str">
        <f t="shared" si="31"/>
        <v>300-450 (Poor)</v>
      </c>
      <c r="K1022" s="1"/>
    </row>
    <row r="1023" spans="1:11" x14ac:dyDescent="0.35">
      <c r="A1023" t="s">
        <v>2846</v>
      </c>
      <c r="B1023" t="s">
        <v>2847</v>
      </c>
      <c r="C1023">
        <v>127818</v>
      </c>
      <c r="D1023">
        <v>741</v>
      </c>
      <c r="E1023">
        <v>25263</v>
      </c>
      <c r="F1023">
        <v>23</v>
      </c>
      <c r="G1023">
        <v>90</v>
      </c>
      <c r="H1023" t="b">
        <v>1</v>
      </c>
      <c r="I1023">
        <f t="shared" si="30"/>
        <v>1</v>
      </c>
      <c r="J1023" t="str">
        <f t="shared" si="31"/>
        <v>601-750 (Good)</v>
      </c>
      <c r="K1023" s="1"/>
    </row>
    <row r="1024" spans="1:11" x14ac:dyDescent="0.35">
      <c r="A1024" t="s">
        <v>1557</v>
      </c>
      <c r="B1024" t="s">
        <v>1558</v>
      </c>
      <c r="C1024">
        <v>128430</v>
      </c>
      <c r="D1024">
        <v>554</v>
      </c>
      <c r="E1024">
        <v>25224</v>
      </c>
      <c r="F1024">
        <v>37</v>
      </c>
      <c r="G1024">
        <v>55</v>
      </c>
      <c r="H1024" t="b">
        <v>0</v>
      </c>
      <c r="I1024">
        <f t="shared" si="30"/>
        <v>0</v>
      </c>
      <c r="J1024" t="str">
        <f t="shared" si="31"/>
        <v>451-600 (Fair)</v>
      </c>
      <c r="K1024" s="1"/>
    </row>
    <row r="1025" spans="1:11" x14ac:dyDescent="0.35">
      <c r="A1025" t="s">
        <v>3140</v>
      </c>
      <c r="B1025" t="s">
        <v>3141</v>
      </c>
      <c r="C1025">
        <v>111226</v>
      </c>
      <c r="D1025">
        <v>340</v>
      </c>
      <c r="E1025">
        <v>25216</v>
      </c>
      <c r="F1025">
        <v>17</v>
      </c>
      <c r="G1025">
        <v>55</v>
      </c>
      <c r="H1025" t="b">
        <v>0</v>
      </c>
      <c r="I1025">
        <f t="shared" si="30"/>
        <v>0</v>
      </c>
      <c r="J1025" t="str">
        <f t="shared" si="31"/>
        <v>300-450 (Poor)</v>
      </c>
      <c r="K1025" s="1"/>
    </row>
    <row r="1026" spans="1:11" x14ac:dyDescent="0.35">
      <c r="A1026" t="s">
        <v>2587</v>
      </c>
      <c r="B1026" t="s">
        <v>1826</v>
      </c>
      <c r="C1026">
        <v>146578</v>
      </c>
      <c r="D1026">
        <v>540</v>
      </c>
      <c r="E1026">
        <v>25191</v>
      </c>
      <c r="F1026">
        <v>23</v>
      </c>
      <c r="G1026">
        <v>55</v>
      </c>
      <c r="H1026" t="b">
        <v>0</v>
      </c>
      <c r="I1026">
        <f t="shared" si="30"/>
        <v>0</v>
      </c>
      <c r="J1026" t="str">
        <f t="shared" si="31"/>
        <v>451-600 (Fair)</v>
      </c>
      <c r="K1026" s="1"/>
    </row>
    <row r="1027" spans="1:11" x14ac:dyDescent="0.35">
      <c r="A1027" t="s">
        <v>1827</v>
      </c>
      <c r="B1027" t="s">
        <v>1828</v>
      </c>
      <c r="C1027">
        <v>81645</v>
      </c>
      <c r="D1027">
        <v>424</v>
      </c>
      <c r="E1027">
        <v>25165</v>
      </c>
      <c r="F1027">
        <v>4</v>
      </c>
      <c r="G1027">
        <v>35</v>
      </c>
      <c r="H1027" t="b">
        <v>0</v>
      </c>
      <c r="I1027">
        <f t="shared" si="30"/>
        <v>0</v>
      </c>
      <c r="J1027" t="str">
        <f t="shared" si="31"/>
        <v>300-450 (Poor)</v>
      </c>
      <c r="K1027" s="1"/>
    </row>
    <row r="1028" spans="1:11" x14ac:dyDescent="0.35">
      <c r="A1028" t="s">
        <v>3025</v>
      </c>
      <c r="B1028" t="s">
        <v>3026</v>
      </c>
      <c r="C1028">
        <v>73065</v>
      </c>
      <c r="D1028">
        <v>380</v>
      </c>
      <c r="E1028">
        <v>25158</v>
      </c>
      <c r="F1028">
        <v>29</v>
      </c>
      <c r="G1028">
        <v>40</v>
      </c>
      <c r="H1028" t="b">
        <v>0</v>
      </c>
      <c r="I1028">
        <f t="shared" ref="I1028:I1091" si="32">--H1028</f>
        <v>0</v>
      </c>
      <c r="J1028" t="str">
        <f t="shared" ref="J1028:J1091" si="33">IF(D1028&gt;750, "751-850 (Excellent)", IF(D1028&gt;600, "601-750 (Good)", IF(D1028&gt;450, "451-600 (Fair)", "300-450 (Poor)")))</f>
        <v>300-450 (Poor)</v>
      </c>
      <c r="K1028" s="1"/>
    </row>
    <row r="1029" spans="1:11" x14ac:dyDescent="0.35">
      <c r="A1029" t="s">
        <v>3221</v>
      </c>
      <c r="B1029" t="s">
        <v>3222</v>
      </c>
      <c r="C1029">
        <v>104963</v>
      </c>
      <c r="D1029">
        <v>591</v>
      </c>
      <c r="E1029">
        <v>25115</v>
      </c>
      <c r="F1029">
        <v>3</v>
      </c>
      <c r="G1029">
        <v>60</v>
      </c>
      <c r="H1029" t="b">
        <v>1</v>
      </c>
      <c r="I1029">
        <f t="shared" si="32"/>
        <v>1</v>
      </c>
      <c r="J1029" t="str">
        <f t="shared" si="33"/>
        <v>451-600 (Fair)</v>
      </c>
      <c r="K1029" s="1"/>
    </row>
    <row r="1030" spans="1:11" x14ac:dyDescent="0.35">
      <c r="A1030" t="s">
        <v>3184</v>
      </c>
      <c r="B1030" t="s">
        <v>3185</v>
      </c>
      <c r="C1030">
        <v>39681</v>
      </c>
      <c r="D1030">
        <v>575</v>
      </c>
      <c r="E1030">
        <v>25025</v>
      </c>
      <c r="F1030">
        <v>16</v>
      </c>
      <c r="G1030">
        <v>25</v>
      </c>
      <c r="H1030" t="b">
        <v>0</v>
      </c>
      <c r="I1030">
        <f t="shared" si="32"/>
        <v>0</v>
      </c>
      <c r="J1030" t="str">
        <f t="shared" si="33"/>
        <v>451-600 (Fair)</v>
      </c>
      <c r="K1030" s="1"/>
    </row>
    <row r="1031" spans="1:11" x14ac:dyDescent="0.35">
      <c r="A1031" t="s">
        <v>2044</v>
      </c>
      <c r="B1031" t="s">
        <v>2045</v>
      </c>
      <c r="C1031">
        <v>85057</v>
      </c>
      <c r="D1031">
        <v>655</v>
      </c>
      <c r="E1031">
        <v>24986</v>
      </c>
      <c r="F1031">
        <v>28</v>
      </c>
      <c r="G1031">
        <v>60</v>
      </c>
      <c r="H1031" t="b">
        <v>1</v>
      </c>
      <c r="I1031">
        <f t="shared" si="32"/>
        <v>1</v>
      </c>
      <c r="J1031" t="str">
        <f t="shared" si="33"/>
        <v>601-750 (Good)</v>
      </c>
      <c r="K1031" s="1"/>
    </row>
    <row r="1032" spans="1:11" x14ac:dyDescent="0.35">
      <c r="A1032" t="s">
        <v>582</v>
      </c>
      <c r="B1032" t="s">
        <v>583</v>
      </c>
      <c r="C1032">
        <v>62493</v>
      </c>
      <c r="D1032">
        <v>491</v>
      </c>
      <c r="E1032">
        <v>24972</v>
      </c>
      <c r="F1032">
        <v>20</v>
      </c>
      <c r="G1032">
        <v>40</v>
      </c>
      <c r="H1032" t="b">
        <v>0</v>
      </c>
      <c r="I1032">
        <f t="shared" si="32"/>
        <v>0</v>
      </c>
      <c r="J1032" t="str">
        <f t="shared" si="33"/>
        <v>451-600 (Fair)</v>
      </c>
      <c r="K1032" s="1"/>
    </row>
    <row r="1033" spans="1:11" x14ac:dyDescent="0.35">
      <c r="A1033" t="s">
        <v>1043</v>
      </c>
      <c r="B1033" t="s">
        <v>800</v>
      </c>
      <c r="C1033">
        <v>64600</v>
      </c>
      <c r="D1033">
        <v>615</v>
      </c>
      <c r="E1033">
        <v>24971</v>
      </c>
      <c r="F1033">
        <v>26</v>
      </c>
      <c r="G1033">
        <v>55</v>
      </c>
      <c r="H1033" t="b">
        <v>0</v>
      </c>
      <c r="I1033">
        <f t="shared" si="32"/>
        <v>0</v>
      </c>
      <c r="J1033" t="str">
        <f t="shared" si="33"/>
        <v>601-750 (Good)</v>
      </c>
      <c r="K1033" s="1"/>
    </row>
    <row r="1034" spans="1:11" x14ac:dyDescent="0.35">
      <c r="A1034" t="s">
        <v>1376</v>
      </c>
      <c r="B1034" t="s">
        <v>1377</v>
      </c>
      <c r="C1034">
        <v>124339</v>
      </c>
      <c r="D1034">
        <v>341</v>
      </c>
      <c r="E1034">
        <v>24958</v>
      </c>
      <c r="F1034">
        <v>23</v>
      </c>
      <c r="G1034">
        <v>55</v>
      </c>
      <c r="H1034" t="b">
        <v>0</v>
      </c>
      <c r="I1034">
        <f t="shared" si="32"/>
        <v>0</v>
      </c>
      <c r="J1034" t="str">
        <f t="shared" si="33"/>
        <v>300-450 (Poor)</v>
      </c>
      <c r="K1034" s="1"/>
    </row>
    <row r="1035" spans="1:11" x14ac:dyDescent="0.35">
      <c r="A1035" t="s">
        <v>2782</v>
      </c>
      <c r="B1035" t="s">
        <v>2783</v>
      </c>
      <c r="C1035">
        <v>70730</v>
      </c>
      <c r="D1035">
        <v>364</v>
      </c>
      <c r="E1035">
        <v>24948</v>
      </c>
      <c r="F1035">
        <v>27</v>
      </c>
      <c r="G1035">
        <v>40</v>
      </c>
      <c r="H1035" t="b">
        <v>0</v>
      </c>
      <c r="I1035">
        <f t="shared" si="32"/>
        <v>0</v>
      </c>
      <c r="J1035" t="str">
        <f t="shared" si="33"/>
        <v>300-450 (Poor)</v>
      </c>
      <c r="K1035" s="1"/>
    </row>
    <row r="1036" spans="1:11" x14ac:dyDescent="0.35">
      <c r="A1036" t="s">
        <v>641</v>
      </c>
      <c r="B1036" t="s">
        <v>642</v>
      </c>
      <c r="C1036">
        <v>124811</v>
      </c>
      <c r="D1036">
        <v>730</v>
      </c>
      <c r="E1036">
        <v>24947</v>
      </c>
      <c r="F1036">
        <v>34</v>
      </c>
      <c r="G1036">
        <v>80</v>
      </c>
      <c r="H1036" t="b">
        <v>1</v>
      </c>
      <c r="I1036">
        <f t="shared" si="32"/>
        <v>1</v>
      </c>
      <c r="J1036" t="str">
        <f t="shared" si="33"/>
        <v>601-750 (Good)</v>
      </c>
      <c r="K1036" s="1"/>
    </row>
    <row r="1037" spans="1:11" x14ac:dyDescent="0.35">
      <c r="A1037" t="s">
        <v>3186</v>
      </c>
      <c r="B1037" t="s">
        <v>3187</v>
      </c>
      <c r="C1037">
        <v>87898</v>
      </c>
      <c r="D1037">
        <v>690</v>
      </c>
      <c r="E1037">
        <v>24892</v>
      </c>
      <c r="F1037">
        <v>3</v>
      </c>
      <c r="G1037">
        <v>60</v>
      </c>
      <c r="H1037" t="b">
        <v>1</v>
      </c>
      <c r="I1037">
        <f t="shared" si="32"/>
        <v>1</v>
      </c>
      <c r="J1037" t="str">
        <f t="shared" si="33"/>
        <v>601-750 (Good)</v>
      </c>
      <c r="K1037" s="1"/>
    </row>
    <row r="1038" spans="1:11" x14ac:dyDescent="0.35">
      <c r="A1038" t="s">
        <v>327</v>
      </c>
      <c r="B1038" t="s">
        <v>328</v>
      </c>
      <c r="C1038">
        <v>127912</v>
      </c>
      <c r="D1038">
        <v>720</v>
      </c>
      <c r="E1038">
        <v>24874</v>
      </c>
      <c r="F1038">
        <v>15</v>
      </c>
      <c r="G1038">
        <v>80</v>
      </c>
      <c r="H1038" t="b">
        <v>1</v>
      </c>
      <c r="I1038">
        <f t="shared" si="32"/>
        <v>1</v>
      </c>
      <c r="J1038" t="str">
        <f t="shared" si="33"/>
        <v>601-750 (Good)</v>
      </c>
      <c r="K1038" s="1"/>
    </row>
    <row r="1039" spans="1:11" x14ac:dyDescent="0.35">
      <c r="A1039" t="s">
        <v>3868</v>
      </c>
      <c r="B1039" t="s">
        <v>3869</v>
      </c>
      <c r="C1039">
        <v>84524</v>
      </c>
      <c r="D1039">
        <v>374</v>
      </c>
      <c r="E1039">
        <v>24860</v>
      </c>
      <c r="F1039">
        <v>1</v>
      </c>
      <c r="G1039">
        <v>30</v>
      </c>
      <c r="H1039" t="b">
        <v>0</v>
      </c>
      <c r="I1039">
        <f t="shared" si="32"/>
        <v>0</v>
      </c>
      <c r="J1039" t="str">
        <f t="shared" si="33"/>
        <v>300-450 (Poor)</v>
      </c>
      <c r="K1039" s="1"/>
    </row>
    <row r="1040" spans="1:11" x14ac:dyDescent="0.35">
      <c r="A1040" t="s">
        <v>1967</v>
      </c>
      <c r="B1040" t="s">
        <v>1968</v>
      </c>
      <c r="C1040">
        <v>44168</v>
      </c>
      <c r="D1040">
        <v>605</v>
      </c>
      <c r="E1040">
        <v>24826</v>
      </c>
      <c r="F1040">
        <v>34</v>
      </c>
      <c r="G1040">
        <v>40</v>
      </c>
      <c r="H1040" t="b">
        <v>0</v>
      </c>
      <c r="I1040">
        <f t="shared" si="32"/>
        <v>0</v>
      </c>
      <c r="J1040" t="str">
        <f t="shared" si="33"/>
        <v>601-750 (Good)</v>
      </c>
      <c r="K1040" s="1"/>
    </row>
    <row r="1041" spans="1:11" x14ac:dyDescent="0.35">
      <c r="A1041" t="s">
        <v>1519</v>
      </c>
      <c r="B1041" t="s">
        <v>1520</v>
      </c>
      <c r="C1041">
        <v>141376</v>
      </c>
      <c r="D1041">
        <v>716</v>
      </c>
      <c r="E1041">
        <v>24818</v>
      </c>
      <c r="F1041">
        <v>5</v>
      </c>
      <c r="G1041">
        <v>75</v>
      </c>
      <c r="H1041" t="b">
        <v>1</v>
      </c>
      <c r="I1041">
        <f t="shared" si="32"/>
        <v>1</v>
      </c>
      <c r="J1041" t="str">
        <f t="shared" si="33"/>
        <v>601-750 (Good)</v>
      </c>
      <c r="K1041" s="1"/>
    </row>
    <row r="1042" spans="1:11" x14ac:dyDescent="0.35">
      <c r="A1042" t="s">
        <v>851</v>
      </c>
      <c r="B1042" t="s">
        <v>852</v>
      </c>
      <c r="C1042">
        <v>37455</v>
      </c>
      <c r="D1042">
        <v>649</v>
      </c>
      <c r="E1042">
        <v>24812</v>
      </c>
      <c r="F1042">
        <v>3</v>
      </c>
      <c r="G1042">
        <v>30</v>
      </c>
      <c r="H1042" t="b">
        <v>0</v>
      </c>
      <c r="I1042">
        <f t="shared" si="32"/>
        <v>0</v>
      </c>
      <c r="J1042" t="str">
        <f t="shared" si="33"/>
        <v>601-750 (Good)</v>
      </c>
      <c r="K1042" s="1"/>
    </row>
    <row r="1043" spans="1:11" x14ac:dyDescent="0.35">
      <c r="A1043" t="s">
        <v>410</v>
      </c>
      <c r="B1043" t="s">
        <v>411</v>
      </c>
      <c r="C1043">
        <v>114012</v>
      </c>
      <c r="D1043">
        <v>499</v>
      </c>
      <c r="E1043">
        <v>24758</v>
      </c>
      <c r="F1043">
        <v>35</v>
      </c>
      <c r="G1043">
        <v>55</v>
      </c>
      <c r="H1043" t="b">
        <v>0</v>
      </c>
      <c r="I1043">
        <f t="shared" si="32"/>
        <v>0</v>
      </c>
      <c r="J1043" t="str">
        <f t="shared" si="33"/>
        <v>451-600 (Fair)</v>
      </c>
      <c r="K1043" s="1"/>
    </row>
    <row r="1044" spans="1:11" x14ac:dyDescent="0.35">
      <c r="A1044" t="s">
        <v>3319</v>
      </c>
      <c r="B1044" t="s">
        <v>3320</v>
      </c>
      <c r="C1044">
        <v>70492</v>
      </c>
      <c r="D1044">
        <v>402</v>
      </c>
      <c r="E1044">
        <v>24758</v>
      </c>
      <c r="F1044">
        <v>7</v>
      </c>
      <c r="G1044">
        <v>35</v>
      </c>
      <c r="H1044" t="b">
        <v>0</v>
      </c>
      <c r="I1044">
        <f t="shared" si="32"/>
        <v>0</v>
      </c>
      <c r="J1044" t="str">
        <f t="shared" si="33"/>
        <v>300-450 (Poor)</v>
      </c>
      <c r="K1044" s="1"/>
    </row>
    <row r="1045" spans="1:11" x14ac:dyDescent="0.35">
      <c r="A1045" t="s">
        <v>946</v>
      </c>
      <c r="B1045" t="s">
        <v>947</v>
      </c>
      <c r="C1045">
        <v>39602</v>
      </c>
      <c r="D1045">
        <v>461</v>
      </c>
      <c r="E1045">
        <v>24738</v>
      </c>
      <c r="F1045">
        <v>38</v>
      </c>
      <c r="G1045">
        <v>25</v>
      </c>
      <c r="H1045" t="b">
        <v>0</v>
      </c>
      <c r="I1045">
        <f t="shared" si="32"/>
        <v>0</v>
      </c>
      <c r="J1045" t="str">
        <f t="shared" si="33"/>
        <v>451-600 (Fair)</v>
      </c>
      <c r="K1045" s="1"/>
    </row>
    <row r="1046" spans="1:11" x14ac:dyDescent="0.35">
      <c r="A1046" t="s">
        <v>3812</v>
      </c>
      <c r="B1046" t="s">
        <v>2906</v>
      </c>
      <c r="C1046">
        <v>79925</v>
      </c>
      <c r="D1046">
        <v>559</v>
      </c>
      <c r="E1046">
        <v>24725</v>
      </c>
      <c r="F1046">
        <v>17</v>
      </c>
      <c r="G1046">
        <v>45</v>
      </c>
      <c r="H1046" t="b">
        <v>0</v>
      </c>
      <c r="I1046">
        <f t="shared" si="32"/>
        <v>0</v>
      </c>
      <c r="J1046" t="str">
        <f t="shared" si="33"/>
        <v>451-600 (Fair)</v>
      </c>
      <c r="K1046" s="1"/>
    </row>
    <row r="1047" spans="1:11" x14ac:dyDescent="0.35">
      <c r="A1047" t="s">
        <v>938</v>
      </c>
      <c r="B1047" t="s">
        <v>939</v>
      </c>
      <c r="C1047">
        <v>90068</v>
      </c>
      <c r="D1047">
        <v>830</v>
      </c>
      <c r="E1047">
        <v>24674</v>
      </c>
      <c r="F1047">
        <v>24</v>
      </c>
      <c r="G1047">
        <v>85</v>
      </c>
      <c r="H1047" t="b">
        <v>1</v>
      </c>
      <c r="I1047">
        <f t="shared" si="32"/>
        <v>1</v>
      </c>
      <c r="J1047" t="str">
        <f t="shared" si="33"/>
        <v>751-850 (Excellent)</v>
      </c>
      <c r="K1047" s="1"/>
    </row>
    <row r="1048" spans="1:11" x14ac:dyDescent="0.35">
      <c r="A1048" t="s">
        <v>1461</v>
      </c>
      <c r="B1048" t="s">
        <v>1462</v>
      </c>
      <c r="C1048">
        <v>92021</v>
      </c>
      <c r="D1048">
        <v>807</v>
      </c>
      <c r="E1048">
        <v>24674</v>
      </c>
      <c r="F1048">
        <v>18</v>
      </c>
      <c r="G1048">
        <v>85</v>
      </c>
      <c r="H1048" t="b">
        <v>1</v>
      </c>
      <c r="I1048">
        <f t="shared" si="32"/>
        <v>1</v>
      </c>
      <c r="J1048" t="str">
        <f t="shared" si="33"/>
        <v>751-850 (Excellent)</v>
      </c>
      <c r="K1048" s="1"/>
    </row>
    <row r="1049" spans="1:11" x14ac:dyDescent="0.35">
      <c r="A1049" t="s">
        <v>3054</v>
      </c>
      <c r="B1049" t="s">
        <v>3055</v>
      </c>
      <c r="C1049">
        <v>110931</v>
      </c>
      <c r="D1049">
        <v>610</v>
      </c>
      <c r="E1049">
        <v>24654</v>
      </c>
      <c r="F1049">
        <v>29</v>
      </c>
      <c r="G1049">
        <v>70</v>
      </c>
      <c r="H1049" t="b">
        <v>1</v>
      </c>
      <c r="I1049">
        <f t="shared" si="32"/>
        <v>1</v>
      </c>
      <c r="J1049" t="str">
        <f t="shared" si="33"/>
        <v>601-750 (Good)</v>
      </c>
      <c r="K1049" s="1"/>
    </row>
    <row r="1050" spans="1:11" x14ac:dyDescent="0.35">
      <c r="A1050" t="s">
        <v>1062</v>
      </c>
      <c r="B1050" t="s">
        <v>1063</v>
      </c>
      <c r="C1050">
        <v>138704</v>
      </c>
      <c r="D1050">
        <v>503</v>
      </c>
      <c r="E1050">
        <v>24620</v>
      </c>
      <c r="F1050">
        <v>3</v>
      </c>
      <c r="G1050">
        <v>45</v>
      </c>
      <c r="H1050" t="b">
        <v>0</v>
      </c>
      <c r="I1050">
        <f t="shared" si="32"/>
        <v>0</v>
      </c>
      <c r="J1050" t="str">
        <f t="shared" si="33"/>
        <v>451-600 (Fair)</v>
      </c>
      <c r="K1050" s="1"/>
    </row>
    <row r="1051" spans="1:11" x14ac:dyDescent="0.35">
      <c r="A1051" t="s">
        <v>3079</v>
      </c>
      <c r="B1051" t="s">
        <v>3080</v>
      </c>
      <c r="C1051">
        <v>122260</v>
      </c>
      <c r="D1051">
        <v>717</v>
      </c>
      <c r="E1051">
        <v>24614</v>
      </c>
      <c r="F1051">
        <v>27</v>
      </c>
      <c r="G1051">
        <v>80</v>
      </c>
      <c r="H1051" t="b">
        <v>1</v>
      </c>
      <c r="I1051">
        <f t="shared" si="32"/>
        <v>1</v>
      </c>
      <c r="J1051" t="str">
        <f t="shared" si="33"/>
        <v>601-750 (Good)</v>
      </c>
      <c r="K1051" s="1"/>
    </row>
    <row r="1052" spans="1:11" x14ac:dyDescent="0.35">
      <c r="A1052" t="s">
        <v>984</v>
      </c>
      <c r="B1052" t="s">
        <v>985</v>
      </c>
      <c r="C1052">
        <v>110173</v>
      </c>
      <c r="D1052">
        <v>336</v>
      </c>
      <c r="E1052">
        <v>24575</v>
      </c>
      <c r="F1052">
        <v>15</v>
      </c>
      <c r="G1052">
        <v>55</v>
      </c>
      <c r="H1052" t="b">
        <v>0</v>
      </c>
      <c r="I1052">
        <f t="shared" si="32"/>
        <v>0</v>
      </c>
      <c r="J1052" t="str">
        <f t="shared" si="33"/>
        <v>300-450 (Poor)</v>
      </c>
      <c r="K1052" s="1"/>
    </row>
    <row r="1053" spans="1:11" x14ac:dyDescent="0.35">
      <c r="A1053" t="s">
        <v>1150</v>
      </c>
      <c r="B1053" t="s">
        <v>1151</v>
      </c>
      <c r="C1053">
        <v>76357</v>
      </c>
      <c r="D1053">
        <v>326</v>
      </c>
      <c r="E1053">
        <v>24544</v>
      </c>
      <c r="F1053">
        <v>5</v>
      </c>
      <c r="G1053">
        <v>40</v>
      </c>
      <c r="H1053" t="b">
        <v>0</v>
      </c>
      <c r="I1053">
        <f t="shared" si="32"/>
        <v>0</v>
      </c>
      <c r="J1053" t="str">
        <f t="shared" si="33"/>
        <v>300-450 (Poor)</v>
      </c>
      <c r="K1053" s="1"/>
    </row>
    <row r="1054" spans="1:11" x14ac:dyDescent="0.35">
      <c r="A1054" t="s">
        <v>1789</v>
      </c>
      <c r="B1054" t="s">
        <v>1790</v>
      </c>
      <c r="C1054">
        <v>65774</v>
      </c>
      <c r="D1054">
        <v>377</v>
      </c>
      <c r="E1054">
        <v>24533</v>
      </c>
      <c r="F1054">
        <v>5</v>
      </c>
      <c r="G1054">
        <v>35</v>
      </c>
      <c r="H1054" t="b">
        <v>0</v>
      </c>
      <c r="I1054">
        <f t="shared" si="32"/>
        <v>0</v>
      </c>
      <c r="J1054" t="str">
        <f t="shared" si="33"/>
        <v>300-450 (Poor)</v>
      </c>
      <c r="K1054" s="1"/>
    </row>
    <row r="1055" spans="1:11" x14ac:dyDescent="0.35">
      <c r="A1055" t="s">
        <v>2822</v>
      </c>
      <c r="B1055" t="s">
        <v>2823</v>
      </c>
      <c r="C1055">
        <v>84459</v>
      </c>
      <c r="D1055">
        <v>559</v>
      </c>
      <c r="E1055">
        <v>24500</v>
      </c>
      <c r="F1055">
        <v>22</v>
      </c>
      <c r="G1055">
        <v>45</v>
      </c>
      <c r="H1055" t="b">
        <v>0</v>
      </c>
      <c r="I1055">
        <f t="shared" si="32"/>
        <v>0</v>
      </c>
      <c r="J1055" t="str">
        <f t="shared" si="33"/>
        <v>451-600 (Fair)</v>
      </c>
      <c r="K1055" s="1"/>
    </row>
    <row r="1056" spans="1:11" x14ac:dyDescent="0.35">
      <c r="A1056" t="s">
        <v>3760</v>
      </c>
      <c r="B1056" t="s">
        <v>3761</v>
      </c>
      <c r="C1056">
        <v>114323</v>
      </c>
      <c r="D1056">
        <v>554</v>
      </c>
      <c r="E1056">
        <v>24445</v>
      </c>
      <c r="F1056">
        <v>38</v>
      </c>
      <c r="G1056">
        <v>55</v>
      </c>
      <c r="H1056" t="b">
        <v>0</v>
      </c>
      <c r="I1056">
        <f t="shared" si="32"/>
        <v>0</v>
      </c>
      <c r="J1056" t="str">
        <f t="shared" si="33"/>
        <v>451-600 (Fair)</v>
      </c>
      <c r="K1056" s="1"/>
    </row>
    <row r="1057" spans="1:11" x14ac:dyDescent="0.35">
      <c r="A1057" t="s">
        <v>3095</v>
      </c>
      <c r="B1057" t="s">
        <v>3096</v>
      </c>
      <c r="C1057">
        <v>33794</v>
      </c>
      <c r="D1057">
        <v>732</v>
      </c>
      <c r="E1057">
        <v>24430</v>
      </c>
      <c r="F1057">
        <v>25</v>
      </c>
      <c r="G1057">
        <v>50</v>
      </c>
      <c r="H1057" t="b">
        <v>0</v>
      </c>
      <c r="I1057">
        <f t="shared" si="32"/>
        <v>0</v>
      </c>
      <c r="J1057" t="str">
        <f t="shared" si="33"/>
        <v>601-750 (Good)</v>
      </c>
      <c r="K1057" s="1"/>
    </row>
    <row r="1058" spans="1:11" x14ac:dyDescent="0.35">
      <c r="A1058" t="s">
        <v>1406</v>
      </c>
      <c r="B1058" t="s">
        <v>1407</v>
      </c>
      <c r="C1058">
        <v>117153</v>
      </c>
      <c r="D1058">
        <v>756</v>
      </c>
      <c r="E1058">
        <v>24422</v>
      </c>
      <c r="F1058">
        <v>5</v>
      </c>
      <c r="G1058">
        <v>85</v>
      </c>
      <c r="H1058" t="b">
        <v>1</v>
      </c>
      <c r="I1058">
        <f t="shared" si="32"/>
        <v>1</v>
      </c>
      <c r="J1058" t="str">
        <f t="shared" si="33"/>
        <v>751-850 (Excellent)</v>
      </c>
      <c r="K1058" s="1"/>
    </row>
    <row r="1059" spans="1:11" x14ac:dyDescent="0.35">
      <c r="A1059" t="s">
        <v>1432</v>
      </c>
      <c r="B1059" t="s">
        <v>1433</v>
      </c>
      <c r="C1059">
        <v>69829</v>
      </c>
      <c r="D1059">
        <v>438</v>
      </c>
      <c r="E1059">
        <v>24421</v>
      </c>
      <c r="F1059">
        <v>10</v>
      </c>
      <c r="G1059">
        <v>40</v>
      </c>
      <c r="H1059" t="b">
        <v>0</v>
      </c>
      <c r="I1059">
        <f t="shared" si="32"/>
        <v>0</v>
      </c>
      <c r="J1059" t="str">
        <f t="shared" si="33"/>
        <v>300-450 (Poor)</v>
      </c>
      <c r="K1059" s="1"/>
    </row>
    <row r="1060" spans="1:11" x14ac:dyDescent="0.35">
      <c r="A1060" t="s">
        <v>2606</v>
      </c>
      <c r="B1060" t="s">
        <v>2607</v>
      </c>
      <c r="C1060">
        <v>139570</v>
      </c>
      <c r="D1060">
        <v>414</v>
      </c>
      <c r="E1060">
        <v>24412</v>
      </c>
      <c r="F1060">
        <v>2</v>
      </c>
      <c r="G1060">
        <v>45</v>
      </c>
      <c r="H1060" t="b">
        <v>0</v>
      </c>
      <c r="I1060">
        <f t="shared" si="32"/>
        <v>0</v>
      </c>
      <c r="J1060" t="str">
        <f t="shared" si="33"/>
        <v>300-450 (Poor)</v>
      </c>
      <c r="K1060" s="1"/>
    </row>
    <row r="1061" spans="1:11" x14ac:dyDescent="0.35">
      <c r="A1061" t="s">
        <v>359</v>
      </c>
      <c r="B1061" t="s">
        <v>360</v>
      </c>
      <c r="C1061">
        <v>50033</v>
      </c>
      <c r="D1061">
        <v>592</v>
      </c>
      <c r="E1061">
        <v>24394</v>
      </c>
      <c r="F1061">
        <v>3</v>
      </c>
      <c r="G1061">
        <v>40</v>
      </c>
      <c r="H1061" t="b">
        <v>0</v>
      </c>
      <c r="I1061">
        <f t="shared" si="32"/>
        <v>0</v>
      </c>
      <c r="J1061" t="str">
        <f t="shared" si="33"/>
        <v>451-600 (Fair)</v>
      </c>
      <c r="K1061" s="1"/>
    </row>
    <row r="1062" spans="1:11" x14ac:dyDescent="0.35">
      <c r="A1062" t="s">
        <v>2528</v>
      </c>
      <c r="B1062" t="s">
        <v>2529</v>
      </c>
      <c r="C1062">
        <v>114886</v>
      </c>
      <c r="D1062">
        <v>785</v>
      </c>
      <c r="E1062">
        <v>24264</v>
      </c>
      <c r="F1062">
        <v>19</v>
      </c>
      <c r="G1062">
        <v>90</v>
      </c>
      <c r="H1062" t="b">
        <v>1</v>
      </c>
      <c r="I1062">
        <f t="shared" si="32"/>
        <v>1</v>
      </c>
      <c r="J1062" t="str">
        <f t="shared" si="33"/>
        <v>751-850 (Excellent)</v>
      </c>
      <c r="K1062" s="1"/>
    </row>
    <row r="1063" spans="1:11" x14ac:dyDescent="0.35">
      <c r="A1063" t="s">
        <v>705</v>
      </c>
      <c r="B1063" t="s">
        <v>706</v>
      </c>
      <c r="C1063">
        <v>44322</v>
      </c>
      <c r="D1063">
        <v>697</v>
      </c>
      <c r="E1063">
        <v>24252</v>
      </c>
      <c r="F1063">
        <v>11</v>
      </c>
      <c r="G1063">
        <v>50</v>
      </c>
      <c r="H1063" t="b">
        <v>0</v>
      </c>
      <c r="I1063">
        <f t="shared" si="32"/>
        <v>0</v>
      </c>
      <c r="J1063" t="str">
        <f t="shared" si="33"/>
        <v>601-750 (Good)</v>
      </c>
      <c r="K1063" s="1"/>
    </row>
    <row r="1064" spans="1:11" x14ac:dyDescent="0.35">
      <c r="A1064" t="s">
        <v>2959</v>
      </c>
      <c r="B1064" t="s">
        <v>2960</v>
      </c>
      <c r="C1064">
        <v>115461</v>
      </c>
      <c r="D1064">
        <v>385</v>
      </c>
      <c r="E1064">
        <v>24246</v>
      </c>
      <c r="F1064">
        <v>38</v>
      </c>
      <c r="G1064">
        <v>55</v>
      </c>
      <c r="H1064" t="b">
        <v>0</v>
      </c>
      <c r="I1064">
        <f t="shared" si="32"/>
        <v>0</v>
      </c>
      <c r="J1064" t="str">
        <f t="shared" si="33"/>
        <v>300-450 (Poor)</v>
      </c>
      <c r="K1064" s="1"/>
    </row>
    <row r="1065" spans="1:11" x14ac:dyDescent="0.35">
      <c r="A1065" t="s">
        <v>3204</v>
      </c>
      <c r="B1065" t="s">
        <v>3205</v>
      </c>
      <c r="C1065">
        <v>140795</v>
      </c>
      <c r="D1065">
        <v>832</v>
      </c>
      <c r="E1065">
        <v>24195</v>
      </c>
      <c r="F1065">
        <v>38</v>
      </c>
      <c r="G1065">
        <v>95</v>
      </c>
      <c r="H1065" t="b">
        <v>1</v>
      </c>
      <c r="I1065">
        <f t="shared" si="32"/>
        <v>1</v>
      </c>
      <c r="J1065" t="str">
        <f t="shared" si="33"/>
        <v>751-850 (Excellent)</v>
      </c>
      <c r="K1065" s="1"/>
    </row>
    <row r="1066" spans="1:11" x14ac:dyDescent="0.35">
      <c r="A1066" t="s">
        <v>91</v>
      </c>
      <c r="B1066" t="s">
        <v>92</v>
      </c>
      <c r="C1066">
        <v>143940</v>
      </c>
      <c r="D1066">
        <v>405</v>
      </c>
      <c r="E1066">
        <v>24178</v>
      </c>
      <c r="F1066">
        <v>35</v>
      </c>
      <c r="G1066">
        <v>55</v>
      </c>
      <c r="H1066" t="b">
        <v>0</v>
      </c>
      <c r="I1066">
        <f t="shared" si="32"/>
        <v>0</v>
      </c>
      <c r="J1066" t="str">
        <f t="shared" si="33"/>
        <v>300-450 (Poor)</v>
      </c>
      <c r="K1066" s="1"/>
    </row>
    <row r="1067" spans="1:11" x14ac:dyDescent="0.35">
      <c r="A1067" t="s">
        <v>2214</v>
      </c>
      <c r="B1067" t="s">
        <v>2215</v>
      </c>
      <c r="C1067">
        <v>70135</v>
      </c>
      <c r="D1067">
        <v>843</v>
      </c>
      <c r="E1067">
        <v>24085</v>
      </c>
      <c r="F1067">
        <v>25</v>
      </c>
      <c r="G1067">
        <v>80</v>
      </c>
      <c r="H1067" t="b">
        <v>1</v>
      </c>
      <c r="I1067">
        <f t="shared" si="32"/>
        <v>1</v>
      </c>
      <c r="J1067" t="str">
        <f t="shared" si="33"/>
        <v>751-850 (Excellent)</v>
      </c>
      <c r="K1067" s="1"/>
    </row>
    <row r="1068" spans="1:11" x14ac:dyDescent="0.35">
      <c r="A1068" t="s">
        <v>2289</v>
      </c>
      <c r="B1068" t="s">
        <v>2290</v>
      </c>
      <c r="C1068">
        <v>67093</v>
      </c>
      <c r="D1068">
        <v>740</v>
      </c>
      <c r="E1068">
        <v>24085</v>
      </c>
      <c r="F1068">
        <v>0</v>
      </c>
      <c r="G1068">
        <v>60</v>
      </c>
      <c r="H1068" t="b">
        <v>1</v>
      </c>
      <c r="I1068">
        <f t="shared" si="32"/>
        <v>1</v>
      </c>
      <c r="J1068" t="str">
        <f t="shared" si="33"/>
        <v>601-750 (Good)</v>
      </c>
      <c r="K1068" s="1"/>
    </row>
    <row r="1069" spans="1:11" x14ac:dyDescent="0.35">
      <c r="A1069" t="s">
        <v>3895</v>
      </c>
      <c r="B1069" t="s">
        <v>3896</v>
      </c>
      <c r="C1069">
        <v>139022</v>
      </c>
      <c r="D1069">
        <v>360</v>
      </c>
      <c r="E1069">
        <v>24031</v>
      </c>
      <c r="F1069">
        <v>35</v>
      </c>
      <c r="G1069">
        <v>55</v>
      </c>
      <c r="H1069" t="b">
        <v>0</v>
      </c>
      <c r="I1069">
        <f t="shared" si="32"/>
        <v>0</v>
      </c>
      <c r="J1069" t="str">
        <f t="shared" si="33"/>
        <v>300-450 (Poor)</v>
      </c>
      <c r="K1069" s="1"/>
    </row>
    <row r="1070" spans="1:11" x14ac:dyDescent="0.35">
      <c r="A1070" t="s">
        <v>1023</v>
      </c>
      <c r="B1070" t="s">
        <v>1024</v>
      </c>
      <c r="C1070">
        <v>65697</v>
      </c>
      <c r="D1070">
        <v>424</v>
      </c>
      <c r="E1070">
        <v>24009</v>
      </c>
      <c r="F1070">
        <v>38</v>
      </c>
      <c r="G1070">
        <v>40</v>
      </c>
      <c r="H1070" t="b">
        <v>0</v>
      </c>
      <c r="I1070">
        <f t="shared" si="32"/>
        <v>0</v>
      </c>
      <c r="J1070" t="str">
        <f t="shared" si="33"/>
        <v>300-450 (Poor)</v>
      </c>
      <c r="K1070" s="1"/>
    </row>
    <row r="1071" spans="1:11" x14ac:dyDescent="0.35">
      <c r="A1071" t="s">
        <v>2174</v>
      </c>
      <c r="B1071" t="s">
        <v>2175</v>
      </c>
      <c r="C1071">
        <v>124381</v>
      </c>
      <c r="D1071">
        <v>427</v>
      </c>
      <c r="E1071">
        <v>23977</v>
      </c>
      <c r="F1071">
        <v>29</v>
      </c>
      <c r="G1071">
        <v>55</v>
      </c>
      <c r="H1071" t="b">
        <v>0</v>
      </c>
      <c r="I1071">
        <f t="shared" si="32"/>
        <v>0</v>
      </c>
      <c r="J1071" t="str">
        <f t="shared" si="33"/>
        <v>300-450 (Poor)</v>
      </c>
      <c r="K1071" s="1"/>
    </row>
    <row r="1072" spans="1:11" x14ac:dyDescent="0.35">
      <c r="A1072" t="s">
        <v>964</v>
      </c>
      <c r="B1072" t="s">
        <v>965</v>
      </c>
      <c r="C1072">
        <v>145247</v>
      </c>
      <c r="D1072">
        <v>690</v>
      </c>
      <c r="E1072">
        <v>23971</v>
      </c>
      <c r="F1072">
        <v>37</v>
      </c>
      <c r="G1072">
        <v>80</v>
      </c>
      <c r="H1072" t="b">
        <v>1</v>
      </c>
      <c r="I1072">
        <f t="shared" si="32"/>
        <v>1</v>
      </c>
      <c r="J1072" t="str">
        <f t="shared" si="33"/>
        <v>601-750 (Good)</v>
      </c>
      <c r="K1072" s="1"/>
    </row>
    <row r="1073" spans="1:11" x14ac:dyDescent="0.35">
      <c r="A1073" t="s">
        <v>139</v>
      </c>
      <c r="B1073" t="s">
        <v>140</v>
      </c>
      <c r="C1073">
        <v>125647</v>
      </c>
      <c r="D1073">
        <v>353</v>
      </c>
      <c r="E1073">
        <v>23935</v>
      </c>
      <c r="F1073">
        <v>14</v>
      </c>
      <c r="G1073">
        <v>55</v>
      </c>
      <c r="H1073" t="b">
        <v>0</v>
      </c>
      <c r="I1073">
        <f t="shared" si="32"/>
        <v>0</v>
      </c>
      <c r="J1073" t="str">
        <f t="shared" si="33"/>
        <v>300-450 (Poor)</v>
      </c>
      <c r="K1073" s="1"/>
    </row>
    <row r="1074" spans="1:11" x14ac:dyDescent="0.35">
      <c r="A1074" t="s">
        <v>2095</v>
      </c>
      <c r="B1074" t="s">
        <v>2096</v>
      </c>
      <c r="C1074">
        <v>107656</v>
      </c>
      <c r="D1074">
        <v>361</v>
      </c>
      <c r="E1074">
        <v>23894</v>
      </c>
      <c r="F1074">
        <v>23</v>
      </c>
      <c r="G1074">
        <v>55</v>
      </c>
      <c r="H1074" t="b">
        <v>0</v>
      </c>
      <c r="I1074">
        <f t="shared" si="32"/>
        <v>0</v>
      </c>
      <c r="J1074" t="str">
        <f t="shared" si="33"/>
        <v>300-450 (Poor)</v>
      </c>
      <c r="K1074" s="1"/>
    </row>
    <row r="1075" spans="1:11" x14ac:dyDescent="0.35">
      <c r="A1075" t="s">
        <v>2853</v>
      </c>
      <c r="B1075" t="s">
        <v>2854</v>
      </c>
      <c r="C1075">
        <v>39150</v>
      </c>
      <c r="D1075">
        <v>358</v>
      </c>
      <c r="E1075">
        <v>23780</v>
      </c>
      <c r="F1075">
        <v>30</v>
      </c>
      <c r="G1075">
        <v>25</v>
      </c>
      <c r="H1075" t="b">
        <v>0</v>
      </c>
      <c r="I1075">
        <f t="shared" si="32"/>
        <v>0</v>
      </c>
      <c r="J1075" t="str">
        <f t="shared" si="33"/>
        <v>300-450 (Poor)</v>
      </c>
      <c r="K1075" s="1"/>
    </row>
    <row r="1076" spans="1:11" x14ac:dyDescent="0.35">
      <c r="A1076" t="s">
        <v>988</v>
      </c>
      <c r="B1076" t="s">
        <v>989</v>
      </c>
      <c r="C1076">
        <v>115717</v>
      </c>
      <c r="D1076">
        <v>656</v>
      </c>
      <c r="E1076">
        <v>23772</v>
      </c>
      <c r="F1076">
        <v>17</v>
      </c>
      <c r="G1076">
        <v>70</v>
      </c>
      <c r="H1076" t="b">
        <v>1</v>
      </c>
      <c r="I1076">
        <f t="shared" si="32"/>
        <v>1</v>
      </c>
      <c r="J1076" t="str">
        <f t="shared" si="33"/>
        <v>601-750 (Good)</v>
      </c>
      <c r="K1076" s="1"/>
    </row>
    <row r="1077" spans="1:11" x14ac:dyDescent="0.35">
      <c r="A1077" t="s">
        <v>2968</v>
      </c>
      <c r="B1077" t="s">
        <v>2969</v>
      </c>
      <c r="C1077">
        <v>95836</v>
      </c>
      <c r="D1077">
        <v>435</v>
      </c>
      <c r="E1077">
        <v>23691</v>
      </c>
      <c r="F1077">
        <v>16</v>
      </c>
      <c r="G1077">
        <v>50</v>
      </c>
      <c r="H1077" t="b">
        <v>0</v>
      </c>
      <c r="I1077">
        <f t="shared" si="32"/>
        <v>0</v>
      </c>
      <c r="J1077" t="str">
        <f t="shared" si="33"/>
        <v>300-450 (Poor)</v>
      </c>
      <c r="K1077" s="1"/>
    </row>
    <row r="1078" spans="1:11" x14ac:dyDescent="0.35">
      <c r="A1078" t="s">
        <v>2356</v>
      </c>
      <c r="B1078" t="s">
        <v>2357</v>
      </c>
      <c r="C1078">
        <v>63092</v>
      </c>
      <c r="D1078">
        <v>336</v>
      </c>
      <c r="E1078">
        <v>23665</v>
      </c>
      <c r="F1078">
        <v>4</v>
      </c>
      <c r="G1078">
        <v>30</v>
      </c>
      <c r="H1078" t="b">
        <v>0</v>
      </c>
      <c r="I1078">
        <f t="shared" si="32"/>
        <v>0</v>
      </c>
      <c r="J1078" t="str">
        <f t="shared" si="33"/>
        <v>300-450 (Poor)</v>
      </c>
      <c r="K1078" s="1"/>
    </row>
    <row r="1079" spans="1:11" x14ac:dyDescent="0.35">
      <c r="A1079" t="s">
        <v>841</v>
      </c>
      <c r="B1079" t="s">
        <v>842</v>
      </c>
      <c r="C1079">
        <v>92493</v>
      </c>
      <c r="D1079">
        <v>793</v>
      </c>
      <c r="E1079">
        <v>23659</v>
      </c>
      <c r="F1079">
        <v>24</v>
      </c>
      <c r="G1079">
        <v>80</v>
      </c>
      <c r="H1079" t="b">
        <v>1</v>
      </c>
      <c r="I1079">
        <f t="shared" si="32"/>
        <v>1</v>
      </c>
      <c r="J1079" t="str">
        <f t="shared" si="33"/>
        <v>751-850 (Excellent)</v>
      </c>
      <c r="K1079" s="1"/>
    </row>
    <row r="1080" spans="1:11" x14ac:dyDescent="0.35">
      <c r="A1080" t="s">
        <v>287</v>
      </c>
      <c r="B1080" t="s">
        <v>288</v>
      </c>
      <c r="C1080">
        <v>104341</v>
      </c>
      <c r="D1080">
        <v>416</v>
      </c>
      <c r="E1080">
        <v>23621</v>
      </c>
      <c r="F1080">
        <v>27</v>
      </c>
      <c r="G1080">
        <v>55</v>
      </c>
      <c r="H1080" t="b">
        <v>0</v>
      </c>
      <c r="I1080">
        <f t="shared" si="32"/>
        <v>0</v>
      </c>
      <c r="J1080" t="str">
        <f t="shared" si="33"/>
        <v>300-450 (Poor)</v>
      </c>
      <c r="K1080" s="1"/>
    </row>
    <row r="1081" spans="1:11" x14ac:dyDescent="0.35">
      <c r="A1081" t="s">
        <v>207</v>
      </c>
      <c r="B1081" t="s">
        <v>208</v>
      </c>
      <c r="C1081">
        <v>51319</v>
      </c>
      <c r="D1081">
        <v>795</v>
      </c>
      <c r="E1081">
        <v>23618</v>
      </c>
      <c r="F1081">
        <v>21</v>
      </c>
      <c r="G1081">
        <v>70</v>
      </c>
      <c r="H1081" t="b">
        <v>1</v>
      </c>
      <c r="I1081">
        <f t="shared" si="32"/>
        <v>1</v>
      </c>
      <c r="J1081" t="str">
        <f t="shared" si="33"/>
        <v>751-850 (Excellent)</v>
      </c>
      <c r="K1081" s="1"/>
    </row>
    <row r="1082" spans="1:11" x14ac:dyDescent="0.35">
      <c r="A1082" t="s">
        <v>3621</v>
      </c>
      <c r="B1082" t="s">
        <v>3622</v>
      </c>
      <c r="C1082">
        <v>61925</v>
      </c>
      <c r="D1082">
        <v>774</v>
      </c>
      <c r="E1082">
        <v>23610</v>
      </c>
      <c r="F1082">
        <v>1</v>
      </c>
      <c r="G1082">
        <v>60</v>
      </c>
      <c r="H1082" t="b">
        <v>1</v>
      </c>
      <c r="I1082">
        <f t="shared" si="32"/>
        <v>1</v>
      </c>
      <c r="J1082" t="str">
        <f t="shared" si="33"/>
        <v>751-850 (Excellent)</v>
      </c>
      <c r="K1082" s="1"/>
    </row>
    <row r="1083" spans="1:11" x14ac:dyDescent="0.35">
      <c r="A1083" t="s">
        <v>2518</v>
      </c>
      <c r="B1083" t="s">
        <v>260</v>
      </c>
      <c r="C1083">
        <v>135369</v>
      </c>
      <c r="D1083">
        <v>531</v>
      </c>
      <c r="E1083">
        <v>23607</v>
      </c>
      <c r="F1083">
        <v>40</v>
      </c>
      <c r="G1083">
        <v>55</v>
      </c>
      <c r="H1083" t="b">
        <v>0</v>
      </c>
      <c r="I1083">
        <f t="shared" si="32"/>
        <v>0</v>
      </c>
      <c r="J1083" t="str">
        <f t="shared" si="33"/>
        <v>451-600 (Fair)</v>
      </c>
      <c r="K1083" s="1"/>
    </row>
    <row r="1084" spans="1:11" x14ac:dyDescent="0.35">
      <c r="A1084" t="s">
        <v>3496</v>
      </c>
      <c r="B1084" t="s">
        <v>3497</v>
      </c>
      <c r="C1084">
        <v>35943</v>
      </c>
      <c r="D1084">
        <v>303</v>
      </c>
      <c r="E1084">
        <v>23589</v>
      </c>
      <c r="F1084">
        <v>26</v>
      </c>
      <c r="G1084">
        <v>25</v>
      </c>
      <c r="H1084" t="b">
        <v>0</v>
      </c>
      <c r="I1084">
        <f t="shared" si="32"/>
        <v>0</v>
      </c>
      <c r="J1084" t="str">
        <f t="shared" si="33"/>
        <v>300-450 (Poor)</v>
      </c>
      <c r="K1084" s="1"/>
    </row>
    <row r="1085" spans="1:11" x14ac:dyDescent="0.35">
      <c r="A1085" t="s">
        <v>755</v>
      </c>
      <c r="B1085" t="s">
        <v>756</v>
      </c>
      <c r="C1085">
        <v>128771</v>
      </c>
      <c r="D1085">
        <v>848</v>
      </c>
      <c r="E1085">
        <v>23535</v>
      </c>
      <c r="F1085">
        <v>26</v>
      </c>
      <c r="G1085">
        <v>95</v>
      </c>
      <c r="H1085" t="b">
        <v>1</v>
      </c>
      <c r="I1085">
        <f t="shared" si="32"/>
        <v>1</v>
      </c>
      <c r="J1085" t="str">
        <f t="shared" si="33"/>
        <v>751-850 (Excellent)</v>
      </c>
      <c r="K1085" s="1"/>
    </row>
    <row r="1086" spans="1:11" x14ac:dyDescent="0.35">
      <c r="A1086" t="s">
        <v>3699</v>
      </c>
      <c r="B1086" t="s">
        <v>2411</v>
      </c>
      <c r="C1086">
        <v>107182</v>
      </c>
      <c r="D1086">
        <v>410</v>
      </c>
      <c r="E1086">
        <v>23460</v>
      </c>
      <c r="F1086">
        <v>3</v>
      </c>
      <c r="G1086">
        <v>45</v>
      </c>
      <c r="H1086" t="b">
        <v>0</v>
      </c>
      <c r="I1086">
        <f t="shared" si="32"/>
        <v>0</v>
      </c>
      <c r="J1086" t="str">
        <f t="shared" si="33"/>
        <v>300-450 (Poor)</v>
      </c>
      <c r="K1086" s="1"/>
    </row>
    <row r="1087" spans="1:11" x14ac:dyDescent="0.35">
      <c r="A1087" t="s">
        <v>3144</v>
      </c>
      <c r="B1087" t="s">
        <v>3145</v>
      </c>
      <c r="C1087">
        <v>61566</v>
      </c>
      <c r="D1087">
        <v>801</v>
      </c>
      <c r="E1087">
        <v>23440</v>
      </c>
      <c r="F1087">
        <v>34</v>
      </c>
      <c r="G1087">
        <v>80</v>
      </c>
      <c r="H1087" t="b">
        <v>1</v>
      </c>
      <c r="I1087">
        <f t="shared" si="32"/>
        <v>1</v>
      </c>
      <c r="J1087" t="str">
        <f t="shared" si="33"/>
        <v>751-850 (Excellent)</v>
      </c>
      <c r="K1087" s="1"/>
    </row>
    <row r="1088" spans="1:11" x14ac:dyDescent="0.35">
      <c r="A1088" t="s">
        <v>2563</v>
      </c>
      <c r="B1088" t="s">
        <v>2564</v>
      </c>
      <c r="C1088">
        <v>91433</v>
      </c>
      <c r="D1088">
        <v>512</v>
      </c>
      <c r="E1088">
        <v>23425</v>
      </c>
      <c r="F1088">
        <v>32</v>
      </c>
      <c r="G1088">
        <v>45</v>
      </c>
      <c r="H1088" t="b">
        <v>0</v>
      </c>
      <c r="I1088">
        <f t="shared" si="32"/>
        <v>0</v>
      </c>
      <c r="J1088" t="str">
        <f t="shared" si="33"/>
        <v>451-600 (Fair)</v>
      </c>
      <c r="K1088" s="1"/>
    </row>
    <row r="1089" spans="1:11" x14ac:dyDescent="0.35">
      <c r="A1089" t="s">
        <v>1140</v>
      </c>
      <c r="B1089" t="s">
        <v>1141</v>
      </c>
      <c r="C1089">
        <v>76898</v>
      </c>
      <c r="D1089">
        <v>455</v>
      </c>
      <c r="E1089">
        <v>23399</v>
      </c>
      <c r="F1089">
        <v>25</v>
      </c>
      <c r="G1089">
        <v>45</v>
      </c>
      <c r="H1089" t="b">
        <v>0</v>
      </c>
      <c r="I1089">
        <f t="shared" si="32"/>
        <v>0</v>
      </c>
      <c r="J1089" t="str">
        <f t="shared" si="33"/>
        <v>451-600 (Fair)</v>
      </c>
      <c r="K1089" s="1"/>
    </row>
    <row r="1090" spans="1:11" x14ac:dyDescent="0.35">
      <c r="A1090" t="s">
        <v>3342</v>
      </c>
      <c r="B1090" t="s">
        <v>3343</v>
      </c>
      <c r="C1090">
        <v>127973</v>
      </c>
      <c r="D1090">
        <v>409</v>
      </c>
      <c r="E1090">
        <v>23371</v>
      </c>
      <c r="F1090">
        <v>13</v>
      </c>
      <c r="G1090">
        <v>55</v>
      </c>
      <c r="H1090" t="b">
        <v>0</v>
      </c>
      <c r="I1090">
        <f t="shared" si="32"/>
        <v>0</v>
      </c>
      <c r="J1090" t="str">
        <f t="shared" si="33"/>
        <v>300-450 (Poor)</v>
      </c>
      <c r="K1090" s="1"/>
    </row>
    <row r="1091" spans="1:11" x14ac:dyDescent="0.35">
      <c r="A1091" t="s">
        <v>711</v>
      </c>
      <c r="B1091" t="s">
        <v>712</v>
      </c>
      <c r="C1091">
        <v>54931</v>
      </c>
      <c r="D1091">
        <v>433</v>
      </c>
      <c r="E1091">
        <v>23331</v>
      </c>
      <c r="F1091">
        <v>11</v>
      </c>
      <c r="G1091">
        <v>35</v>
      </c>
      <c r="H1091" t="b">
        <v>0</v>
      </c>
      <c r="I1091">
        <f t="shared" si="32"/>
        <v>0</v>
      </c>
      <c r="J1091" t="str">
        <f t="shared" si="33"/>
        <v>300-450 (Poor)</v>
      </c>
      <c r="K1091" s="1"/>
    </row>
    <row r="1092" spans="1:11" x14ac:dyDescent="0.35">
      <c r="A1092" t="s">
        <v>3776</v>
      </c>
      <c r="B1092" t="s">
        <v>3777</v>
      </c>
      <c r="C1092">
        <v>94260</v>
      </c>
      <c r="D1092">
        <v>635</v>
      </c>
      <c r="E1092">
        <v>23300</v>
      </c>
      <c r="F1092">
        <v>37</v>
      </c>
      <c r="G1092">
        <v>65</v>
      </c>
      <c r="H1092" t="b">
        <v>1</v>
      </c>
      <c r="I1092">
        <f t="shared" ref="I1092:I1155" si="34">--H1092</f>
        <v>1</v>
      </c>
      <c r="J1092" t="str">
        <f t="shared" ref="J1092:J1155" si="35">IF(D1092&gt;750, "751-850 (Excellent)", IF(D1092&gt;600, "601-750 (Good)", IF(D1092&gt;450, "451-600 (Fair)", "300-450 (Poor)")))</f>
        <v>601-750 (Good)</v>
      </c>
      <c r="K1092" s="1"/>
    </row>
    <row r="1093" spans="1:11" x14ac:dyDescent="0.35">
      <c r="A1093" t="s">
        <v>3577</v>
      </c>
      <c r="B1093" t="s">
        <v>3578</v>
      </c>
      <c r="C1093">
        <v>78147</v>
      </c>
      <c r="D1093">
        <v>405</v>
      </c>
      <c r="E1093">
        <v>23294</v>
      </c>
      <c r="F1093">
        <v>25</v>
      </c>
      <c r="G1093">
        <v>45</v>
      </c>
      <c r="H1093" t="b">
        <v>0</v>
      </c>
      <c r="I1093">
        <f t="shared" si="34"/>
        <v>0</v>
      </c>
      <c r="J1093" t="str">
        <f t="shared" si="35"/>
        <v>300-450 (Poor)</v>
      </c>
      <c r="K1093" s="1"/>
    </row>
    <row r="1094" spans="1:11" x14ac:dyDescent="0.35">
      <c r="A1094" t="s">
        <v>205</v>
      </c>
      <c r="B1094" t="s">
        <v>206</v>
      </c>
      <c r="C1094">
        <v>77819</v>
      </c>
      <c r="D1094">
        <v>724</v>
      </c>
      <c r="E1094">
        <v>23274</v>
      </c>
      <c r="F1094">
        <v>32</v>
      </c>
      <c r="G1094">
        <v>70</v>
      </c>
      <c r="H1094" t="b">
        <v>1</v>
      </c>
      <c r="I1094">
        <f t="shared" si="34"/>
        <v>1</v>
      </c>
      <c r="J1094" t="str">
        <f t="shared" si="35"/>
        <v>601-750 (Good)</v>
      </c>
      <c r="K1094" s="1"/>
    </row>
    <row r="1095" spans="1:11" x14ac:dyDescent="0.35">
      <c r="A1095" t="s">
        <v>1322</v>
      </c>
      <c r="B1095" t="s">
        <v>1323</v>
      </c>
      <c r="C1095">
        <v>147899</v>
      </c>
      <c r="D1095">
        <v>337</v>
      </c>
      <c r="E1095">
        <v>23235</v>
      </c>
      <c r="F1095">
        <v>3</v>
      </c>
      <c r="G1095">
        <v>45</v>
      </c>
      <c r="H1095" t="b">
        <v>0</v>
      </c>
      <c r="I1095">
        <f t="shared" si="34"/>
        <v>0</v>
      </c>
      <c r="J1095" t="str">
        <f t="shared" si="35"/>
        <v>300-450 (Poor)</v>
      </c>
      <c r="K1095" s="1"/>
    </row>
    <row r="1096" spans="1:11" x14ac:dyDescent="0.35">
      <c r="A1096" t="s">
        <v>1565</v>
      </c>
      <c r="B1096" t="s">
        <v>1566</v>
      </c>
      <c r="C1096">
        <v>43970</v>
      </c>
      <c r="D1096">
        <v>804</v>
      </c>
      <c r="E1096">
        <v>23228</v>
      </c>
      <c r="F1096">
        <v>29</v>
      </c>
      <c r="G1096">
        <v>65</v>
      </c>
      <c r="H1096" t="b">
        <v>1</v>
      </c>
      <c r="I1096">
        <f t="shared" si="34"/>
        <v>1</v>
      </c>
      <c r="J1096" t="str">
        <f t="shared" si="35"/>
        <v>751-850 (Excellent)</v>
      </c>
      <c r="K1096" s="1"/>
    </row>
    <row r="1097" spans="1:11" x14ac:dyDescent="0.35">
      <c r="A1097" t="s">
        <v>2947</v>
      </c>
      <c r="B1097" t="s">
        <v>2948</v>
      </c>
      <c r="C1097">
        <v>136352</v>
      </c>
      <c r="D1097">
        <v>786</v>
      </c>
      <c r="E1097">
        <v>23191</v>
      </c>
      <c r="F1097">
        <v>11</v>
      </c>
      <c r="G1097">
        <v>90</v>
      </c>
      <c r="H1097" t="b">
        <v>1</v>
      </c>
      <c r="I1097">
        <f t="shared" si="34"/>
        <v>1</v>
      </c>
      <c r="J1097" t="str">
        <f t="shared" si="35"/>
        <v>751-850 (Excellent)</v>
      </c>
      <c r="K1097" s="1"/>
    </row>
    <row r="1098" spans="1:11" x14ac:dyDescent="0.35">
      <c r="A1098" t="s">
        <v>3813</v>
      </c>
      <c r="B1098" t="s">
        <v>3814</v>
      </c>
      <c r="C1098">
        <v>108301</v>
      </c>
      <c r="D1098">
        <v>778</v>
      </c>
      <c r="E1098">
        <v>23186</v>
      </c>
      <c r="F1098">
        <v>9</v>
      </c>
      <c r="G1098">
        <v>85</v>
      </c>
      <c r="H1098" t="b">
        <v>1</v>
      </c>
      <c r="I1098">
        <f t="shared" si="34"/>
        <v>1</v>
      </c>
      <c r="J1098" t="str">
        <f t="shared" si="35"/>
        <v>751-850 (Excellent)</v>
      </c>
      <c r="K1098" s="1"/>
    </row>
    <row r="1099" spans="1:11" x14ac:dyDescent="0.35">
      <c r="A1099" t="s">
        <v>809</v>
      </c>
      <c r="B1099" t="s">
        <v>810</v>
      </c>
      <c r="C1099">
        <v>124163</v>
      </c>
      <c r="D1099">
        <v>836</v>
      </c>
      <c r="E1099">
        <v>23140</v>
      </c>
      <c r="F1099">
        <v>27</v>
      </c>
      <c r="G1099">
        <v>95</v>
      </c>
      <c r="H1099" t="b">
        <v>1</v>
      </c>
      <c r="I1099">
        <f t="shared" si="34"/>
        <v>1</v>
      </c>
      <c r="J1099" t="str">
        <f t="shared" si="35"/>
        <v>751-850 (Excellent)</v>
      </c>
      <c r="K1099" s="1"/>
    </row>
    <row r="1100" spans="1:11" x14ac:dyDescent="0.35">
      <c r="A1100" t="s">
        <v>2391</v>
      </c>
      <c r="B1100" t="s">
        <v>674</v>
      </c>
      <c r="C1100">
        <v>41164</v>
      </c>
      <c r="D1100">
        <v>602</v>
      </c>
      <c r="E1100">
        <v>23120</v>
      </c>
      <c r="F1100">
        <v>36</v>
      </c>
      <c r="G1100">
        <v>40</v>
      </c>
      <c r="H1100" t="b">
        <v>0</v>
      </c>
      <c r="I1100">
        <f t="shared" si="34"/>
        <v>0</v>
      </c>
      <c r="J1100" t="str">
        <f t="shared" si="35"/>
        <v>601-750 (Good)</v>
      </c>
      <c r="K1100" s="1"/>
    </row>
    <row r="1101" spans="1:11" x14ac:dyDescent="0.35">
      <c r="A1101" t="s">
        <v>137</v>
      </c>
      <c r="B1101" t="s">
        <v>138</v>
      </c>
      <c r="C1101">
        <v>35695</v>
      </c>
      <c r="D1101">
        <v>634</v>
      </c>
      <c r="E1101">
        <v>23118</v>
      </c>
      <c r="F1101">
        <v>24</v>
      </c>
      <c r="G1101">
        <v>40</v>
      </c>
      <c r="H1101" t="b">
        <v>0</v>
      </c>
      <c r="I1101">
        <f t="shared" si="34"/>
        <v>0</v>
      </c>
      <c r="J1101" t="str">
        <f t="shared" si="35"/>
        <v>601-750 (Good)</v>
      </c>
      <c r="K1101" s="1"/>
    </row>
    <row r="1102" spans="1:11" x14ac:dyDescent="0.35">
      <c r="A1102" t="s">
        <v>3669</v>
      </c>
      <c r="B1102" t="s">
        <v>3670</v>
      </c>
      <c r="C1102">
        <v>47038</v>
      </c>
      <c r="D1102">
        <v>689</v>
      </c>
      <c r="E1102">
        <v>23106</v>
      </c>
      <c r="F1102">
        <v>13</v>
      </c>
      <c r="G1102">
        <v>50</v>
      </c>
      <c r="H1102" t="b">
        <v>0</v>
      </c>
      <c r="I1102">
        <f t="shared" si="34"/>
        <v>0</v>
      </c>
      <c r="J1102" t="str">
        <f t="shared" si="35"/>
        <v>601-750 (Good)</v>
      </c>
      <c r="K1102" s="1"/>
    </row>
    <row r="1103" spans="1:11" x14ac:dyDescent="0.35">
      <c r="A1103" t="s">
        <v>3600</v>
      </c>
      <c r="B1103" t="s">
        <v>3601</v>
      </c>
      <c r="C1103">
        <v>89600</v>
      </c>
      <c r="D1103">
        <v>822</v>
      </c>
      <c r="E1103">
        <v>23104</v>
      </c>
      <c r="F1103">
        <v>17</v>
      </c>
      <c r="G1103">
        <v>85</v>
      </c>
      <c r="H1103" t="b">
        <v>1</v>
      </c>
      <c r="I1103">
        <f t="shared" si="34"/>
        <v>1</v>
      </c>
      <c r="J1103" t="str">
        <f t="shared" si="35"/>
        <v>751-850 (Excellent)</v>
      </c>
      <c r="K1103" s="1"/>
    </row>
    <row r="1104" spans="1:11" x14ac:dyDescent="0.35">
      <c r="A1104" t="s">
        <v>2780</v>
      </c>
      <c r="B1104" t="s">
        <v>2781</v>
      </c>
      <c r="C1104">
        <v>50758</v>
      </c>
      <c r="D1104">
        <v>645</v>
      </c>
      <c r="E1104">
        <v>23102</v>
      </c>
      <c r="F1104">
        <v>11</v>
      </c>
      <c r="G1104">
        <v>50</v>
      </c>
      <c r="H1104" t="b">
        <v>0</v>
      </c>
      <c r="I1104">
        <f t="shared" si="34"/>
        <v>0</v>
      </c>
      <c r="J1104" t="str">
        <f t="shared" si="35"/>
        <v>601-750 (Good)</v>
      </c>
      <c r="K1104" s="1"/>
    </row>
    <row r="1105" spans="1:11" x14ac:dyDescent="0.35">
      <c r="A1105" t="s">
        <v>155</v>
      </c>
      <c r="B1105" t="s">
        <v>156</v>
      </c>
      <c r="C1105">
        <v>138711</v>
      </c>
      <c r="D1105">
        <v>688</v>
      </c>
      <c r="E1105">
        <v>23046</v>
      </c>
      <c r="F1105">
        <v>1</v>
      </c>
      <c r="G1105">
        <v>65</v>
      </c>
      <c r="H1105" t="b">
        <v>1</v>
      </c>
      <c r="I1105">
        <f t="shared" si="34"/>
        <v>1</v>
      </c>
      <c r="J1105" t="str">
        <f t="shared" si="35"/>
        <v>601-750 (Good)</v>
      </c>
      <c r="K1105" s="1"/>
    </row>
    <row r="1106" spans="1:11" x14ac:dyDescent="0.35">
      <c r="A1106" t="s">
        <v>133</v>
      </c>
      <c r="B1106" t="s">
        <v>134</v>
      </c>
      <c r="C1106">
        <v>64671</v>
      </c>
      <c r="D1106">
        <v>698</v>
      </c>
      <c r="E1106">
        <v>23028</v>
      </c>
      <c r="F1106">
        <v>25</v>
      </c>
      <c r="G1106">
        <v>65</v>
      </c>
      <c r="H1106" t="b">
        <v>1</v>
      </c>
      <c r="I1106">
        <f t="shared" si="34"/>
        <v>1</v>
      </c>
      <c r="J1106" t="str">
        <f t="shared" si="35"/>
        <v>601-750 (Good)</v>
      </c>
      <c r="K1106" s="1"/>
    </row>
    <row r="1107" spans="1:11" x14ac:dyDescent="0.35">
      <c r="A1107" t="s">
        <v>1418</v>
      </c>
      <c r="B1107" t="s">
        <v>1419</v>
      </c>
      <c r="C1107">
        <v>110676</v>
      </c>
      <c r="D1107">
        <v>837</v>
      </c>
      <c r="E1107">
        <v>22981</v>
      </c>
      <c r="F1107">
        <v>4</v>
      </c>
      <c r="G1107">
        <v>85</v>
      </c>
      <c r="H1107" t="b">
        <v>1</v>
      </c>
      <c r="I1107">
        <f t="shared" si="34"/>
        <v>1</v>
      </c>
      <c r="J1107" t="str">
        <f t="shared" si="35"/>
        <v>751-850 (Excellent)</v>
      </c>
      <c r="K1107" s="1"/>
    </row>
    <row r="1108" spans="1:11" x14ac:dyDescent="0.35">
      <c r="A1108" t="s">
        <v>3148</v>
      </c>
      <c r="B1108" t="s">
        <v>3149</v>
      </c>
      <c r="C1108">
        <v>149646</v>
      </c>
      <c r="D1108">
        <v>496</v>
      </c>
      <c r="E1108">
        <v>22954</v>
      </c>
      <c r="F1108">
        <v>33</v>
      </c>
      <c r="G1108">
        <v>55</v>
      </c>
      <c r="H1108" t="b">
        <v>0</v>
      </c>
      <c r="I1108">
        <f t="shared" si="34"/>
        <v>0</v>
      </c>
      <c r="J1108" t="str">
        <f t="shared" si="35"/>
        <v>451-600 (Fair)</v>
      </c>
      <c r="K1108" s="1"/>
    </row>
    <row r="1109" spans="1:11" x14ac:dyDescent="0.35">
      <c r="A1109" t="s">
        <v>554</v>
      </c>
      <c r="B1109" t="s">
        <v>555</v>
      </c>
      <c r="C1109">
        <v>125673</v>
      </c>
      <c r="D1109">
        <v>750</v>
      </c>
      <c r="E1109">
        <v>22937</v>
      </c>
      <c r="F1109">
        <v>27</v>
      </c>
      <c r="G1109">
        <v>90</v>
      </c>
      <c r="H1109" t="b">
        <v>1</v>
      </c>
      <c r="I1109">
        <f t="shared" si="34"/>
        <v>1</v>
      </c>
      <c r="J1109" t="str">
        <f t="shared" si="35"/>
        <v>601-750 (Good)</v>
      </c>
      <c r="K1109" s="1"/>
    </row>
    <row r="1110" spans="1:11" x14ac:dyDescent="0.35">
      <c r="A1110" t="s">
        <v>1656</v>
      </c>
      <c r="B1110" t="s">
        <v>1657</v>
      </c>
      <c r="C1110">
        <v>66347</v>
      </c>
      <c r="D1110">
        <v>850</v>
      </c>
      <c r="E1110">
        <v>22921</v>
      </c>
      <c r="F1110">
        <v>24</v>
      </c>
      <c r="G1110">
        <v>80</v>
      </c>
      <c r="H1110" t="b">
        <v>1</v>
      </c>
      <c r="I1110">
        <f t="shared" si="34"/>
        <v>1</v>
      </c>
      <c r="J1110" t="str">
        <f t="shared" si="35"/>
        <v>751-850 (Excellent)</v>
      </c>
      <c r="K1110" s="1"/>
    </row>
    <row r="1111" spans="1:11" x14ac:dyDescent="0.35">
      <c r="A1111" t="s">
        <v>2639</v>
      </c>
      <c r="B1111" t="s">
        <v>2640</v>
      </c>
      <c r="C1111">
        <v>87963</v>
      </c>
      <c r="D1111">
        <v>845</v>
      </c>
      <c r="E1111">
        <v>22892</v>
      </c>
      <c r="F1111">
        <v>29</v>
      </c>
      <c r="G1111">
        <v>85</v>
      </c>
      <c r="H1111" t="b">
        <v>1</v>
      </c>
      <c r="I1111">
        <f t="shared" si="34"/>
        <v>1</v>
      </c>
      <c r="J1111" t="str">
        <f t="shared" si="35"/>
        <v>751-850 (Excellent)</v>
      </c>
      <c r="K1111" s="1"/>
    </row>
    <row r="1112" spans="1:11" x14ac:dyDescent="0.35">
      <c r="A1112" t="s">
        <v>1136</v>
      </c>
      <c r="B1112" t="s">
        <v>1137</v>
      </c>
      <c r="C1112">
        <v>35229</v>
      </c>
      <c r="D1112">
        <v>612</v>
      </c>
      <c r="E1112">
        <v>22860</v>
      </c>
      <c r="F1112">
        <v>31</v>
      </c>
      <c r="G1112">
        <v>40</v>
      </c>
      <c r="H1112" t="b">
        <v>0</v>
      </c>
      <c r="I1112">
        <f t="shared" si="34"/>
        <v>0</v>
      </c>
      <c r="J1112" t="str">
        <f t="shared" si="35"/>
        <v>601-750 (Good)</v>
      </c>
      <c r="K1112" s="1"/>
    </row>
    <row r="1113" spans="1:11" x14ac:dyDescent="0.35">
      <c r="A1113" t="s">
        <v>3748</v>
      </c>
      <c r="B1113" t="s">
        <v>3749</v>
      </c>
      <c r="C1113">
        <v>132659</v>
      </c>
      <c r="D1113">
        <v>529</v>
      </c>
      <c r="E1113">
        <v>22843</v>
      </c>
      <c r="F1113">
        <v>24</v>
      </c>
      <c r="G1113">
        <v>55</v>
      </c>
      <c r="H1113" t="b">
        <v>0</v>
      </c>
      <c r="I1113">
        <f t="shared" si="34"/>
        <v>0</v>
      </c>
      <c r="J1113" t="str">
        <f t="shared" si="35"/>
        <v>451-600 (Fair)</v>
      </c>
      <c r="K1113" s="1"/>
    </row>
    <row r="1114" spans="1:11" x14ac:dyDescent="0.35">
      <c r="A1114" t="s">
        <v>1218</v>
      </c>
      <c r="B1114" t="s">
        <v>1219</v>
      </c>
      <c r="C1114">
        <v>144316</v>
      </c>
      <c r="D1114">
        <v>389</v>
      </c>
      <c r="E1114">
        <v>22842</v>
      </c>
      <c r="F1114">
        <v>29</v>
      </c>
      <c r="G1114">
        <v>55</v>
      </c>
      <c r="H1114" t="b">
        <v>0</v>
      </c>
      <c r="I1114">
        <f t="shared" si="34"/>
        <v>0</v>
      </c>
      <c r="J1114" t="str">
        <f t="shared" si="35"/>
        <v>300-450 (Poor)</v>
      </c>
      <c r="K1114" s="1"/>
    </row>
    <row r="1115" spans="1:11" x14ac:dyDescent="0.35">
      <c r="A1115" t="s">
        <v>299</v>
      </c>
      <c r="B1115" t="s">
        <v>300</v>
      </c>
      <c r="C1115">
        <v>95435</v>
      </c>
      <c r="D1115">
        <v>526</v>
      </c>
      <c r="E1115">
        <v>22827</v>
      </c>
      <c r="F1115">
        <v>10</v>
      </c>
      <c r="G1115">
        <v>50</v>
      </c>
      <c r="H1115" t="b">
        <v>0</v>
      </c>
      <c r="I1115">
        <f t="shared" si="34"/>
        <v>0</v>
      </c>
      <c r="J1115" t="str">
        <f t="shared" si="35"/>
        <v>451-600 (Fair)</v>
      </c>
      <c r="K1115" s="1"/>
    </row>
    <row r="1116" spans="1:11" x14ac:dyDescent="0.35">
      <c r="A1116" t="s">
        <v>3264</v>
      </c>
      <c r="B1116" t="s">
        <v>1049</v>
      </c>
      <c r="C1116">
        <v>139161</v>
      </c>
      <c r="D1116">
        <v>589</v>
      </c>
      <c r="E1116">
        <v>22805</v>
      </c>
      <c r="F1116">
        <v>20</v>
      </c>
      <c r="G1116">
        <v>70</v>
      </c>
      <c r="H1116" t="b">
        <v>1</v>
      </c>
      <c r="I1116">
        <f t="shared" si="34"/>
        <v>1</v>
      </c>
      <c r="J1116" t="str">
        <f t="shared" si="35"/>
        <v>451-600 (Fair)</v>
      </c>
      <c r="K1116" s="1"/>
    </row>
    <row r="1117" spans="1:11" x14ac:dyDescent="0.35">
      <c r="A1117" t="s">
        <v>568</v>
      </c>
      <c r="B1117" t="s">
        <v>569</v>
      </c>
      <c r="C1117">
        <v>115180</v>
      </c>
      <c r="D1117">
        <v>709</v>
      </c>
      <c r="E1117">
        <v>22731</v>
      </c>
      <c r="F1117">
        <v>27</v>
      </c>
      <c r="G1117">
        <v>80</v>
      </c>
      <c r="H1117" t="b">
        <v>1</v>
      </c>
      <c r="I1117">
        <f t="shared" si="34"/>
        <v>1</v>
      </c>
      <c r="J1117" t="str">
        <f t="shared" si="35"/>
        <v>601-750 (Good)</v>
      </c>
      <c r="K1117" s="1"/>
    </row>
    <row r="1118" spans="1:11" x14ac:dyDescent="0.35">
      <c r="A1118" t="s">
        <v>918</v>
      </c>
      <c r="B1118" t="s">
        <v>919</v>
      </c>
      <c r="C1118">
        <v>81876</v>
      </c>
      <c r="D1118">
        <v>798</v>
      </c>
      <c r="E1118">
        <v>22682</v>
      </c>
      <c r="F1118">
        <v>22</v>
      </c>
      <c r="G1118">
        <v>80</v>
      </c>
      <c r="H1118" t="b">
        <v>1</v>
      </c>
      <c r="I1118">
        <f t="shared" si="34"/>
        <v>1</v>
      </c>
      <c r="J1118" t="str">
        <f t="shared" si="35"/>
        <v>751-850 (Excellent)</v>
      </c>
      <c r="K1118" s="1"/>
    </row>
    <row r="1119" spans="1:11" x14ac:dyDescent="0.35">
      <c r="A1119" t="s">
        <v>3376</v>
      </c>
      <c r="B1119" t="s">
        <v>3377</v>
      </c>
      <c r="C1119">
        <v>93156</v>
      </c>
      <c r="D1119">
        <v>721</v>
      </c>
      <c r="E1119">
        <v>22675</v>
      </c>
      <c r="F1119">
        <v>6</v>
      </c>
      <c r="G1119">
        <v>70</v>
      </c>
      <c r="H1119" t="b">
        <v>1</v>
      </c>
      <c r="I1119">
        <f t="shared" si="34"/>
        <v>1</v>
      </c>
      <c r="J1119" t="str">
        <f t="shared" si="35"/>
        <v>601-750 (Good)</v>
      </c>
      <c r="K1119" s="1"/>
    </row>
    <row r="1120" spans="1:11" x14ac:dyDescent="0.35">
      <c r="A1120" t="s">
        <v>2857</v>
      </c>
      <c r="B1120" t="s">
        <v>2858</v>
      </c>
      <c r="C1120">
        <v>131276</v>
      </c>
      <c r="D1120">
        <v>611</v>
      </c>
      <c r="E1120">
        <v>22661</v>
      </c>
      <c r="F1120">
        <v>14</v>
      </c>
      <c r="G1120">
        <v>70</v>
      </c>
      <c r="H1120" t="b">
        <v>1</v>
      </c>
      <c r="I1120">
        <f t="shared" si="34"/>
        <v>1</v>
      </c>
      <c r="J1120" t="str">
        <f t="shared" si="35"/>
        <v>601-750 (Good)</v>
      </c>
      <c r="K1120" s="1"/>
    </row>
    <row r="1121" spans="1:11" x14ac:dyDescent="0.35">
      <c r="A1121" t="s">
        <v>496</v>
      </c>
      <c r="B1121" t="s">
        <v>497</v>
      </c>
      <c r="C1121">
        <v>70306</v>
      </c>
      <c r="D1121">
        <v>508</v>
      </c>
      <c r="E1121">
        <v>22644</v>
      </c>
      <c r="F1121">
        <v>5</v>
      </c>
      <c r="G1121">
        <v>35</v>
      </c>
      <c r="H1121" t="b">
        <v>0</v>
      </c>
      <c r="I1121">
        <f t="shared" si="34"/>
        <v>0</v>
      </c>
      <c r="J1121" t="str">
        <f t="shared" si="35"/>
        <v>451-600 (Fair)</v>
      </c>
      <c r="K1121" s="1"/>
    </row>
    <row r="1122" spans="1:11" x14ac:dyDescent="0.35">
      <c r="A1122" t="s">
        <v>683</v>
      </c>
      <c r="B1122" t="s">
        <v>684</v>
      </c>
      <c r="C1122">
        <v>37100</v>
      </c>
      <c r="D1122">
        <v>520</v>
      </c>
      <c r="E1122">
        <v>22482</v>
      </c>
      <c r="F1122">
        <v>9</v>
      </c>
      <c r="G1122">
        <v>20</v>
      </c>
      <c r="H1122" t="b">
        <v>0</v>
      </c>
      <c r="I1122">
        <f t="shared" si="34"/>
        <v>0</v>
      </c>
      <c r="J1122" t="str">
        <f t="shared" si="35"/>
        <v>451-600 (Fair)</v>
      </c>
      <c r="K1122" s="1"/>
    </row>
    <row r="1123" spans="1:11" x14ac:dyDescent="0.35">
      <c r="A1123" t="s">
        <v>2800</v>
      </c>
      <c r="B1123" t="s">
        <v>2801</v>
      </c>
      <c r="C1123">
        <v>90482</v>
      </c>
      <c r="D1123">
        <v>582</v>
      </c>
      <c r="E1123">
        <v>22461</v>
      </c>
      <c r="F1123">
        <v>0</v>
      </c>
      <c r="G1123">
        <v>50</v>
      </c>
      <c r="H1123" t="b">
        <v>0</v>
      </c>
      <c r="I1123">
        <f t="shared" si="34"/>
        <v>0</v>
      </c>
      <c r="J1123" t="str">
        <f t="shared" si="35"/>
        <v>451-600 (Fair)</v>
      </c>
      <c r="K1123" s="1"/>
    </row>
    <row r="1124" spans="1:11" x14ac:dyDescent="0.35">
      <c r="A1124" t="s">
        <v>2739</v>
      </c>
      <c r="B1124" t="s">
        <v>2740</v>
      </c>
      <c r="C1124">
        <v>95338</v>
      </c>
      <c r="D1124">
        <v>370</v>
      </c>
      <c r="E1124">
        <v>22460</v>
      </c>
      <c r="F1124">
        <v>20</v>
      </c>
      <c r="G1124">
        <v>50</v>
      </c>
      <c r="H1124" t="b">
        <v>0</v>
      </c>
      <c r="I1124">
        <f t="shared" si="34"/>
        <v>0</v>
      </c>
      <c r="J1124" t="str">
        <f t="shared" si="35"/>
        <v>300-450 (Poor)</v>
      </c>
      <c r="K1124" s="1"/>
    </row>
    <row r="1125" spans="1:11" x14ac:dyDescent="0.35">
      <c r="A1125" t="s">
        <v>2451</v>
      </c>
      <c r="B1125" t="s">
        <v>2452</v>
      </c>
      <c r="C1125">
        <v>57659</v>
      </c>
      <c r="D1125">
        <v>376</v>
      </c>
      <c r="E1125">
        <v>22437</v>
      </c>
      <c r="F1125">
        <v>10</v>
      </c>
      <c r="G1125">
        <v>40</v>
      </c>
      <c r="H1125" t="b">
        <v>0</v>
      </c>
      <c r="I1125">
        <f t="shared" si="34"/>
        <v>0</v>
      </c>
      <c r="J1125" t="str">
        <f t="shared" si="35"/>
        <v>300-450 (Poor)</v>
      </c>
      <c r="K1125" s="1"/>
    </row>
    <row r="1126" spans="1:11" x14ac:dyDescent="0.35">
      <c r="A1126" t="s">
        <v>3787</v>
      </c>
      <c r="B1126" t="s">
        <v>3788</v>
      </c>
      <c r="C1126">
        <v>40589</v>
      </c>
      <c r="D1126">
        <v>351</v>
      </c>
      <c r="E1126">
        <v>22422</v>
      </c>
      <c r="F1126">
        <v>27</v>
      </c>
      <c r="G1126">
        <v>25</v>
      </c>
      <c r="H1126" t="b">
        <v>0</v>
      </c>
      <c r="I1126">
        <f t="shared" si="34"/>
        <v>0</v>
      </c>
      <c r="J1126" t="str">
        <f t="shared" si="35"/>
        <v>300-450 (Poor)</v>
      </c>
      <c r="K1126" s="1"/>
    </row>
    <row r="1127" spans="1:11" x14ac:dyDescent="0.35">
      <c r="A1127" t="s">
        <v>1111</v>
      </c>
      <c r="B1127" t="s">
        <v>1112</v>
      </c>
      <c r="C1127">
        <v>139392</v>
      </c>
      <c r="D1127">
        <v>453</v>
      </c>
      <c r="E1127">
        <v>22419</v>
      </c>
      <c r="F1127">
        <v>32</v>
      </c>
      <c r="G1127">
        <v>55</v>
      </c>
      <c r="H1127" t="b">
        <v>0</v>
      </c>
      <c r="I1127">
        <f t="shared" si="34"/>
        <v>0</v>
      </c>
      <c r="J1127" t="str">
        <f t="shared" si="35"/>
        <v>451-600 (Fair)</v>
      </c>
      <c r="K1127" s="1"/>
    </row>
    <row r="1128" spans="1:11" x14ac:dyDescent="0.35">
      <c r="A1128" t="s">
        <v>1923</v>
      </c>
      <c r="B1128" t="s">
        <v>1924</v>
      </c>
      <c r="C1128">
        <v>49973</v>
      </c>
      <c r="D1128">
        <v>464</v>
      </c>
      <c r="E1128">
        <v>22397</v>
      </c>
      <c r="F1128">
        <v>24</v>
      </c>
      <c r="G1128">
        <v>25</v>
      </c>
      <c r="H1128" t="b">
        <v>0</v>
      </c>
      <c r="I1128">
        <f t="shared" si="34"/>
        <v>0</v>
      </c>
      <c r="J1128" t="str">
        <f t="shared" si="35"/>
        <v>451-600 (Fair)</v>
      </c>
      <c r="K1128" s="1"/>
    </row>
    <row r="1129" spans="1:11" x14ac:dyDescent="0.35">
      <c r="A1129" t="s">
        <v>3772</v>
      </c>
      <c r="B1129" t="s">
        <v>3773</v>
      </c>
      <c r="C1129">
        <v>119928</v>
      </c>
      <c r="D1129">
        <v>531</v>
      </c>
      <c r="E1129">
        <v>22394</v>
      </c>
      <c r="F1129">
        <v>39</v>
      </c>
      <c r="G1129">
        <v>55</v>
      </c>
      <c r="H1129" t="b">
        <v>0</v>
      </c>
      <c r="I1129">
        <f t="shared" si="34"/>
        <v>0</v>
      </c>
      <c r="J1129" t="str">
        <f t="shared" si="35"/>
        <v>451-600 (Fair)</v>
      </c>
      <c r="K1129" s="1"/>
    </row>
    <row r="1130" spans="1:11" x14ac:dyDescent="0.35">
      <c r="A1130" t="s">
        <v>2643</v>
      </c>
      <c r="B1130" t="s">
        <v>2644</v>
      </c>
      <c r="C1130">
        <v>53788</v>
      </c>
      <c r="D1130">
        <v>323</v>
      </c>
      <c r="E1130">
        <v>22300</v>
      </c>
      <c r="F1130">
        <v>39</v>
      </c>
      <c r="G1130">
        <v>35</v>
      </c>
      <c r="H1130" t="b">
        <v>0</v>
      </c>
      <c r="I1130">
        <f t="shared" si="34"/>
        <v>0</v>
      </c>
      <c r="J1130" t="str">
        <f t="shared" si="35"/>
        <v>300-450 (Poor)</v>
      </c>
      <c r="K1130" s="1"/>
    </row>
    <row r="1131" spans="1:11" x14ac:dyDescent="0.35">
      <c r="A1131" t="s">
        <v>3033</v>
      </c>
      <c r="B1131" t="s">
        <v>3034</v>
      </c>
      <c r="C1131">
        <v>99942</v>
      </c>
      <c r="D1131">
        <v>589</v>
      </c>
      <c r="E1131">
        <v>22234</v>
      </c>
      <c r="F1131">
        <v>36</v>
      </c>
      <c r="G1131">
        <v>65</v>
      </c>
      <c r="H1131" t="b">
        <v>1</v>
      </c>
      <c r="I1131">
        <f t="shared" si="34"/>
        <v>1</v>
      </c>
      <c r="J1131" t="str">
        <f t="shared" si="35"/>
        <v>451-600 (Fair)</v>
      </c>
      <c r="K1131" s="1"/>
    </row>
    <row r="1132" spans="1:11" x14ac:dyDescent="0.35">
      <c r="A1132" t="s">
        <v>2699</v>
      </c>
      <c r="B1132" t="s">
        <v>2700</v>
      </c>
      <c r="C1132">
        <v>71224</v>
      </c>
      <c r="D1132">
        <v>458</v>
      </c>
      <c r="E1132">
        <v>22218</v>
      </c>
      <c r="F1132">
        <v>10</v>
      </c>
      <c r="G1132">
        <v>40</v>
      </c>
      <c r="H1132" t="b">
        <v>0</v>
      </c>
      <c r="I1132">
        <f t="shared" si="34"/>
        <v>0</v>
      </c>
      <c r="J1132" t="str">
        <f t="shared" si="35"/>
        <v>451-600 (Fair)</v>
      </c>
      <c r="K1132" s="1"/>
    </row>
    <row r="1133" spans="1:11" x14ac:dyDescent="0.35">
      <c r="A1133" t="s">
        <v>1119</v>
      </c>
      <c r="B1133" t="s">
        <v>1120</v>
      </c>
      <c r="C1133">
        <v>49410</v>
      </c>
      <c r="D1133">
        <v>740</v>
      </c>
      <c r="E1133">
        <v>22195</v>
      </c>
      <c r="F1133">
        <v>36</v>
      </c>
      <c r="G1133">
        <v>60</v>
      </c>
      <c r="H1133" t="b">
        <v>1</v>
      </c>
      <c r="I1133">
        <f t="shared" si="34"/>
        <v>1</v>
      </c>
      <c r="J1133" t="str">
        <f t="shared" si="35"/>
        <v>601-750 (Good)</v>
      </c>
      <c r="K1133" s="1"/>
    </row>
    <row r="1134" spans="1:11" x14ac:dyDescent="0.35">
      <c r="A1134" t="s">
        <v>3043</v>
      </c>
      <c r="B1134" t="s">
        <v>3044</v>
      </c>
      <c r="C1134">
        <v>146318</v>
      </c>
      <c r="D1134">
        <v>627</v>
      </c>
      <c r="E1134">
        <v>22164</v>
      </c>
      <c r="F1134">
        <v>24</v>
      </c>
      <c r="G1134">
        <v>70</v>
      </c>
      <c r="H1134" t="b">
        <v>1</v>
      </c>
      <c r="I1134">
        <f t="shared" si="34"/>
        <v>1</v>
      </c>
      <c r="J1134" t="str">
        <f t="shared" si="35"/>
        <v>601-750 (Good)</v>
      </c>
      <c r="K1134" s="1"/>
    </row>
    <row r="1135" spans="1:11" x14ac:dyDescent="0.35">
      <c r="A1135" t="s">
        <v>2766</v>
      </c>
      <c r="B1135" t="s">
        <v>2767</v>
      </c>
      <c r="C1135">
        <v>45915</v>
      </c>
      <c r="D1135">
        <v>431</v>
      </c>
      <c r="E1135">
        <v>22160</v>
      </c>
      <c r="F1135">
        <v>34</v>
      </c>
      <c r="G1135">
        <v>25</v>
      </c>
      <c r="H1135" t="b">
        <v>0</v>
      </c>
      <c r="I1135">
        <f t="shared" si="34"/>
        <v>0</v>
      </c>
      <c r="J1135" t="str">
        <f t="shared" si="35"/>
        <v>300-450 (Poor)</v>
      </c>
      <c r="K1135" s="1"/>
    </row>
    <row r="1136" spans="1:11" x14ac:dyDescent="0.35">
      <c r="A1136" t="s">
        <v>3105</v>
      </c>
      <c r="B1136" t="s">
        <v>3106</v>
      </c>
      <c r="C1136">
        <v>68452</v>
      </c>
      <c r="D1136">
        <v>335</v>
      </c>
      <c r="E1136">
        <v>22159</v>
      </c>
      <c r="F1136">
        <v>19</v>
      </c>
      <c r="G1136">
        <v>40</v>
      </c>
      <c r="H1136" t="b">
        <v>0</v>
      </c>
      <c r="I1136">
        <f t="shared" si="34"/>
        <v>0</v>
      </c>
      <c r="J1136" t="str">
        <f t="shared" si="35"/>
        <v>300-450 (Poor)</v>
      </c>
      <c r="K1136" s="1"/>
    </row>
    <row r="1137" spans="1:11" x14ac:dyDescent="0.35">
      <c r="A1137" t="s">
        <v>715</v>
      </c>
      <c r="B1137" t="s">
        <v>716</v>
      </c>
      <c r="C1137">
        <v>88800</v>
      </c>
      <c r="D1137">
        <v>609</v>
      </c>
      <c r="E1137">
        <v>22142</v>
      </c>
      <c r="F1137">
        <v>8</v>
      </c>
      <c r="G1137">
        <v>60</v>
      </c>
      <c r="H1137" t="b">
        <v>1</v>
      </c>
      <c r="I1137">
        <f t="shared" si="34"/>
        <v>1</v>
      </c>
      <c r="J1137" t="str">
        <f t="shared" si="35"/>
        <v>601-750 (Good)</v>
      </c>
      <c r="K1137" s="1"/>
    </row>
    <row r="1138" spans="1:11" x14ac:dyDescent="0.35">
      <c r="A1138" t="s">
        <v>153</v>
      </c>
      <c r="B1138" t="s">
        <v>154</v>
      </c>
      <c r="C1138">
        <v>68427</v>
      </c>
      <c r="D1138">
        <v>574</v>
      </c>
      <c r="E1138">
        <v>22122</v>
      </c>
      <c r="F1138">
        <v>15</v>
      </c>
      <c r="G1138">
        <v>40</v>
      </c>
      <c r="H1138" t="b">
        <v>0</v>
      </c>
      <c r="I1138">
        <f t="shared" si="34"/>
        <v>0</v>
      </c>
      <c r="J1138" t="str">
        <f t="shared" si="35"/>
        <v>451-600 (Fair)</v>
      </c>
      <c r="K1138" s="1"/>
    </row>
    <row r="1139" spans="1:11" x14ac:dyDescent="0.35">
      <c r="A1139" t="s">
        <v>3307</v>
      </c>
      <c r="B1139" t="s">
        <v>3308</v>
      </c>
      <c r="C1139">
        <v>112345</v>
      </c>
      <c r="D1139">
        <v>696</v>
      </c>
      <c r="E1139">
        <v>22116</v>
      </c>
      <c r="F1139">
        <v>23</v>
      </c>
      <c r="G1139">
        <v>80</v>
      </c>
      <c r="H1139" t="b">
        <v>1</v>
      </c>
      <c r="I1139">
        <f t="shared" si="34"/>
        <v>1</v>
      </c>
      <c r="J1139" t="str">
        <f t="shared" si="35"/>
        <v>601-750 (Good)</v>
      </c>
      <c r="K1139" s="1"/>
    </row>
    <row r="1140" spans="1:11" x14ac:dyDescent="0.35">
      <c r="A1140" t="s">
        <v>2709</v>
      </c>
      <c r="B1140" t="s">
        <v>2710</v>
      </c>
      <c r="C1140">
        <v>82976</v>
      </c>
      <c r="D1140">
        <v>324</v>
      </c>
      <c r="E1140">
        <v>22092</v>
      </c>
      <c r="F1140">
        <v>27</v>
      </c>
      <c r="G1140">
        <v>45</v>
      </c>
      <c r="H1140" t="b">
        <v>0</v>
      </c>
      <c r="I1140">
        <f t="shared" si="34"/>
        <v>0</v>
      </c>
      <c r="J1140" t="str">
        <f t="shared" si="35"/>
        <v>300-450 (Poor)</v>
      </c>
      <c r="K1140" s="1"/>
    </row>
    <row r="1141" spans="1:11" x14ac:dyDescent="0.35">
      <c r="A1141" t="s">
        <v>1332</v>
      </c>
      <c r="B1141" t="s">
        <v>1333</v>
      </c>
      <c r="C1141">
        <v>122901</v>
      </c>
      <c r="D1141">
        <v>440</v>
      </c>
      <c r="E1141">
        <v>22075</v>
      </c>
      <c r="F1141">
        <v>13</v>
      </c>
      <c r="G1141">
        <v>55</v>
      </c>
      <c r="H1141" t="b">
        <v>0</v>
      </c>
      <c r="I1141">
        <f t="shared" si="34"/>
        <v>0</v>
      </c>
      <c r="J1141" t="str">
        <f t="shared" si="35"/>
        <v>300-450 (Poor)</v>
      </c>
      <c r="K1141" s="1"/>
    </row>
    <row r="1142" spans="1:11" x14ac:dyDescent="0.35">
      <c r="A1142" t="s">
        <v>1220</v>
      </c>
      <c r="B1142" t="s">
        <v>1221</v>
      </c>
      <c r="C1142">
        <v>35075</v>
      </c>
      <c r="D1142">
        <v>514</v>
      </c>
      <c r="E1142">
        <v>22029</v>
      </c>
      <c r="F1142">
        <v>12</v>
      </c>
      <c r="G1142">
        <v>25</v>
      </c>
      <c r="H1142" t="b">
        <v>0</v>
      </c>
      <c r="I1142">
        <f t="shared" si="34"/>
        <v>0</v>
      </c>
      <c r="J1142" t="str">
        <f t="shared" si="35"/>
        <v>451-600 (Fair)</v>
      </c>
      <c r="K1142" s="1"/>
    </row>
    <row r="1143" spans="1:11" x14ac:dyDescent="0.35">
      <c r="A1143" t="s">
        <v>1380</v>
      </c>
      <c r="B1143" t="s">
        <v>1381</v>
      </c>
      <c r="C1143">
        <v>69363</v>
      </c>
      <c r="D1143">
        <v>530</v>
      </c>
      <c r="E1143">
        <v>22001</v>
      </c>
      <c r="F1143">
        <v>22</v>
      </c>
      <c r="G1143">
        <v>40</v>
      </c>
      <c r="H1143" t="b">
        <v>0</v>
      </c>
      <c r="I1143">
        <f t="shared" si="34"/>
        <v>0</v>
      </c>
      <c r="J1143" t="str">
        <f t="shared" si="35"/>
        <v>451-600 (Fair)</v>
      </c>
      <c r="K1143" s="1"/>
    </row>
    <row r="1144" spans="1:11" x14ac:dyDescent="0.35">
      <c r="A1144" t="s">
        <v>2884</v>
      </c>
      <c r="B1144" t="s">
        <v>2885</v>
      </c>
      <c r="C1144">
        <v>106931</v>
      </c>
      <c r="D1144">
        <v>589</v>
      </c>
      <c r="E1144">
        <v>21992</v>
      </c>
      <c r="F1144">
        <v>8</v>
      </c>
      <c r="G1144">
        <v>65</v>
      </c>
      <c r="H1144" t="b">
        <v>1</v>
      </c>
      <c r="I1144">
        <f t="shared" si="34"/>
        <v>1</v>
      </c>
      <c r="J1144" t="str">
        <f t="shared" si="35"/>
        <v>451-600 (Fair)</v>
      </c>
      <c r="K1144" s="1"/>
    </row>
    <row r="1145" spans="1:11" x14ac:dyDescent="0.35">
      <c r="A1145" t="s">
        <v>3738</v>
      </c>
      <c r="B1145" t="s">
        <v>3739</v>
      </c>
      <c r="C1145">
        <v>96039</v>
      </c>
      <c r="D1145">
        <v>785</v>
      </c>
      <c r="E1145">
        <v>21984</v>
      </c>
      <c r="F1145">
        <v>30</v>
      </c>
      <c r="G1145">
        <v>85</v>
      </c>
      <c r="H1145" t="b">
        <v>1</v>
      </c>
      <c r="I1145">
        <f t="shared" si="34"/>
        <v>1</v>
      </c>
      <c r="J1145" t="str">
        <f t="shared" si="35"/>
        <v>751-850 (Excellent)</v>
      </c>
      <c r="K1145" s="1"/>
    </row>
    <row r="1146" spans="1:11" x14ac:dyDescent="0.35">
      <c r="A1146" t="s">
        <v>3565</v>
      </c>
      <c r="B1146" t="s">
        <v>3566</v>
      </c>
      <c r="C1146">
        <v>88287</v>
      </c>
      <c r="D1146">
        <v>432</v>
      </c>
      <c r="E1146">
        <v>21979</v>
      </c>
      <c r="F1146">
        <v>33</v>
      </c>
      <c r="G1146">
        <v>50</v>
      </c>
      <c r="H1146" t="b">
        <v>0</v>
      </c>
      <c r="I1146">
        <f t="shared" si="34"/>
        <v>0</v>
      </c>
      <c r="J1146" t="str">
        <f t="shared" si="35"/>
        <v>300-450 (Poor)</v>
      </c>
      <c r="K1146" s="1"/>
    </row>
    <row r="1147" spans="1:11" x14ac:dyDescent="0.35">
      <c r="A1147" t="s">
        <v>1545</v>
      </c>
      <c r="B1147" t="s">
        <v>1546</v>
      </c>
      <c r="C1147">
        <v>82383</v>
      </c>
      <c r="D1147">
        <v>720</v>
      </c>
      <c r="E1147">
        <v>21932</v>
      </c>
      <c r="F1147">
        <v>28</v>
      </c>
      <c r="G1147">
        <v>70</v>
      </c>
      <c r="H1147" t="b">
        <v>1</v>
      </c>
      <c r="I1147">
        <f t="shared" si="34"/>
        <v>1</v>
      </c>
      <c r="J1147" t="str">
        <f t="shared" si="35"/>
        <v>601-750 (Good)</v>
      </c>
      <c r="K1147" s="1"/>
    </row>
    <row r="1148" spans="1:11" x14ac:dyDescent="0.35">
      <c r="A1148" t="s">
        <v>3851</v>
      </c>
      <c r="B1148" t="s">
        <v>3852</v>
      </c>
      <c r="C1148">
        <v>86370</v>
      </c>
      <c r="D1148">
        <v>596</v>
      </c>
      <c r="E1148">
        <v>21927</v>
      </c>
      <c r="F1148">
        <v>15</v>
      </c>
      <c r="G1148">
        <v>60</v>
      </c>
      <c r="H1148" t="b">
        <v>1</v>
      </c>
      <c r="I1148">
        <f t="shared" si="34"/>
        <v>1</v>
      </c>
      <c r="J1148" t="str">
        <f t="shared" si="35"/>
        <v>451-600 (Fair)</v>
      </c>
      <c r="K1148" s="1"/>
    </row>
    <row r="1149" spans="1:11" x14ac:dyDescent="0.35">
      <c r="A1149" t="s">
        <v>2594</v>
      </c>
      <c r="B1149" t="s">
        <v>2595</v>
      </c>
      <c r="C1149">
        <v>109129</v>
      </c>
      <c r="D1149">
        <v>464</v>
      </c>
      <c r="E1149">
        <v>21907</v>
      </c>
      <c r="F1149">
        <v>8</v>
      </c>
      <c r="G1149">
        <v>50</v>
      </c>
      <c r="H1149" t="b">
        <v>0</v>
      </c>
      <c r="I1149">
        <f t="shared" si="34"/>
        <v>0</v>
      </c>
      <c r="J1149" t="str">
        <f t="shared" si="35"/>
        <v>451-600 (Fair)</v>
      </c>
      <c r="K1149" s="1"/>
    </row>
    <row r="1150" spans="1:11" x14ac:dyDescent="0.35">
      <c r="A1150" t="s">
        <v>2686</v>
      </c>
      <c r="B1150" t="s">
        <v>2687</v>
      </c>
      <c r="C1150">
        <v>82488</v>
      </c>
      <c r="D1150">
        <v>352</v>
      </c>
      <c r="E1150">
        <v>21896</v>
      </c>
      <c r="F1150">
        <v>40</v>
      </c>
      <c r="G1150">
        <v>45</v>
      </c>
      <c r="H1150" t="b">
        <v>0</v>
      </c>
      <c r="I1150">
        <f t="shared" si="34"/>
        <v>0</v>
      </c>
      <c r="J1150" t="str">
        <f t="shared" si="35"/>
        <v>300-450 (Poor)</v>
      </c>
      <c r="K1150" s="1"/>
    </row>
    <row r="1151" spans="1:11" x14ac:dyDescent="0.35">
      <c r="A1151" t="s">
        <v>1147</v>
      </c>
      <c r="B1151" t="s">
        <v>925</v>
      </c>
      <c r="C1151">
        <v>117416</v>
      </c>
      <c r="D1151">
        <v>330</v>
      </c>
      <c r="E1151">
        <v>21885</v>
      </c>
      <c r="F1151">
        <v>26</v>
      </c>
      <c r="G1151">
        <v>55</v>
      </c>
      <c r="H1151" t="b">
        <v>0</v>
      </c>
      <c r="I1151">
        <f t="shared" si="34"/>
        <v>0</v>
      </c>
      <c r="J1151" t="str">
        <f t="shared" si="35"/>
        <v>300-450 (Poor)</v>
      </c>
      <c r="K1151" s="1"/>
    </row>
    <row r="1152" spans="1:11" x14ac:dyDescent="0.35">
      <c r="A1152" t="s">
        <v>1698</v>
      </c>
      <c r="B1152" t="s">
        <v>1699</v>
      </c>
      <c r="C1152">
        <v>80205</v>
      </c>
      <c r="D1152">
        <v>362</v>
      </c>
      <c r="E1152">
        <v>21862</v>
      </c>
      <c r="F1152">
        <v>29</v>
      </c>
      <c r="G1152">
        <v>45</v>
      </c>
      <c r="H1152" t="b">
        <v>0</v>
      </c>
      <c r="I1152">
        <f t="shared" si="34"/>
        <v>0</v>
      </c>
      <c r="J1152" t="str">
        <f t="shared" si="35"/>
        <v>300-450 (Poor)</v>
      </c>
      <c r="K1152" s="1"/>
    </row>
    <row r="1153" spans="1:11" x14ac:dyDescent="0.35">
      <c r="A1153" t="s">
        <v>2221</v>
      </c>
      <c r="B1153" t="s">
        <v>2222</v>
      </c>
      <c r="C1153">
        <v>92031</v>
      </c>
      <c r="D1153">
        <v>745</v>
      </c>
      <c r="E1153">
        <v>21826</v>
      </c>
      <c r="F1153">
        <v>20</v>
      </c>
      <c r="G1153">
        <v>85</v>
      </c>
      <c r="H1153" t="b">
        <v>1</v>
      </c>
      <c r="I1153">
        <f t="shared" si="34"/>
        <v>1</v>
      </c>
      <c r="J1153" t="str">
        <f t="shared" si="35"/>
        <v>601-750 (Good)</v>
      </c>
      <c r="K1153" s="1"/>
    </row>
    <row r="1154" spans="1:11" x14ac:dyDescent="0.35">
      <c r="A1154" t="s">
        <v>1145</v>
      </c>
      <c r="B1154" t="s">
        <v>1146</v>
      </c>
      <c r="C1154">
        <v>62706</v>
      </c>
      <c r="D1154">
        <v>461</v>
      </c>
      <c r="E1154">
        <v>21807</v>
      </c>
      <c r="F1154">
        <v>4</v>
      </c>
      <c r="G1154">
        <v>30</v>
      </c>
      <c r="H1154" t="b">
        <v>0</v>
      </c>
      <c r="I1154">
        <f t="shared" si="34"/>
        <v>0</v>
      </c>
      <c r="J1154" t="str">
        <f t="shared" si="35"/>
        <v>451-600 (Fair)</v>
      </c>
      <c r="K1154" s="1"/>
    </row>
    <row r="1155" spans="1:11" x14ac:dyDescent="0.35">
      <c r="A1155" t="s">
        <v>2143</v>
      </c>
      <c r="B1155" t="s">
        <v>2144</v>
      </c>
      <c r="C1155">
        <v>76507</v>
      </c>
      <c r="D1155">
        <v>366</v>
      </c>
      <c r="E1155">
        <v>21793</v>
      </c>
      <c r="F1155">
        <v>21</v>
      </c>
      <c r="G1155">
        <v>45</v>
      </c>
      <c r="H1155" t="b">
        <v>0</v>
      </c>
      <c r="I1155">
        <f t="shared" si="34"/>
        <v>0</v>
      </c>
      <c r="J1155" t="str">
        <f t="shared" si="35"/>
        <v>300-450 (Poor)</v>
      </c>
      <c r="K1155" s="1"/>
    </row>
    <row r="1156" spans="1:11" x14ac:dyDescent="0.35">
      <c r="A1156" t="s">
        <v>432</v>
      </c>
      <c r="B1156" t="s">
        <v>433</v>
      </c>
      <c r="C1156">
        <v>64522</v>
      </c>
      <c r="D1156">
        <v>800</v>
      </c>
      <c r="E1156">
        <v>21777</v>
      </c>
      <c r="F1156">
        <v>30</v>
      </c>
      <c r="G1156">
        <v>80</v>
      </c>
      <c r="H1156" t="b">
        <v>1</v>
      </c>
      <c r="I1156">
        <f t="shared" ref="I1156:I1219" si="36">--H1156</f>
        <v>1</v>
      </c>
      <c r="J1156" t="str">
        <f t="shared" ref="J1156:J1219" si="37">IF(D1156&gt;750, "751-850 (Excellent)", IF(D1156&gt;600, "601-750 (Good)", IF(D1156&gt;450, "451-600 (Fair)", "300-450 (Poor)")))</f>
        <v>751-850 (Excellent)</v>
      </c>
      <c r="K1156" s="1"/>
    </row>
    <row r="1157" spans="1:11" x14ac:dyDescent="0.35">
      <c r="A1157" t="s">
        <v>2416</v>
      </c>
      <c r="B1157" t="s">
        <v>2417</v>
      </c>
      <c r="C1157">
        <v>79856</v>
      </c>
      <c r="D1157">
        <v>751</v>
      </c>
      <c r="E1157">
        <v>21770</v>
      </c>
      <c r="F1157">
        <v>17</v>
      </c>
      <c r="G1157">
        <v>80</v>
      </c>
      <c r="H1157" t="b">
        <v>1</v>
      </c>
      <c r="I1157">
        <f t="shared" si="36"/>
        <v>1</v>
      </c>
      <c r="J1157" t="str">
        <f t="shared" si="37"/>
        <v>751-850 (Excellent)</v>
      </c>
      <c r="K1157" s="1"/>
    </row>
    <row r="1158" spans="1:11" x14ac:dyDescent="0.35">
      <c r="A1158" t="s">
        <v>1029</v>
      </c>
      <c r="B1158" t="s">
        <v>1030</v>
      </c>
      <c r="C1158">
        <v>57607</v>
      </c>
      <c r="D1158">
        <v>621</v>
      </c>
      <c r="E1158">
        <v>21766</v>
      </c>
      <c r="F1158">
        <v>18</v>
      </c>
      <c r="G1158">
        <v>55</v>
      </c>
      <c r="H1158" t="b">
        <v>0</v>
      </c>
      <c r="I1158">
        <f t="shared" si="36"/>
        <v>0</v>
      </c>
      <c r="J1158" t="str">
        <f t="shared" si="37"/>
        <v>601-750 (Good)</v>
      </c>
      <c r="K1158" s="1"/>
    </row>
    <row r="1159" spans="1:11" x14ac:dyDescent="0.35">
      <c r="A1159" t="s">
        <v>2996</v>
      </c>
      <c r="B1159" t="s">
        <v>2997</v>
      </c>
      <c r="C1159">
        <v>83736</v>
      </c>
      <c r="D1159">
        <v>442</v>
      </c>
      <c r="E1159">
        <v>21756</v>
      </c>
      <c r="F1159">
        <v>24</v>
      </c>
      <c r="G1159">
        <v>45</v>
      </c>
      <c r="H1159" t="b">
        <v>0</v>
      </c>
      <c r="I1159">
        <f t="shared" si="36"/>
        <v>0</v>
      </c>
      <c r="J1159" t="str">
        <f t="shared" si="37"/>
        <v>300-450 (Poor)</v>
      </c>
      <c r="K1159" s="1"/>
    </row>
    <row r="1160" spans="1:11" x14ac:dyDescent="0.35">
      <c r="A1160" t="s">
        <v>1493</v>
      </c>
      <c r="B1160" t="s">
        <v>1494</v>
      </c>
      <c r="C1160">
        <v>128453</v>
      </c>
      <c r="D1160">
        <v>322</v>
      </c>
      <c r="E1160">
        <v>21743</v>
      </c>
      <c r="F1160">
        <v>24</v>
      </c>
      <c r="G1160">
        <v>55</v>
      </c>
      <c r="H1160" t="b">
        <v>0</v>
      </c>
      <c r="I1160">
        <f t="shared" si="36"/>
        <v>0</v>
      </c>
      <c r="J1160" t="str">
        <f t="shared" si="37"/>
        <v>300-450 (Poor)</v>
      </c>
      <c r="K1160" s="1"/>
    </row>
    <row r="1161" spans="1:11" x14ac:dyDescent="0.35">
      <c r="A1161" t="s">
        <v>1436</v>
      </c>
      <c r="B1161" t="s">
        <v>1437</v>
      </c>
      <c r="C1161">
        <v>57549</v>
      </c>
      <c r="D1161">
        <v>630</v>
      </c>
      <c r="E1161">
        <v>21723</v>
      </c>
      <c r="F1161">
        <v>19</v>
      </c>
      <c r="G1161">
        <v>55</v>
      </c>
      <c r="H1161" t="b">
        <v>0</v>
      </c>
      <c r="I1161">
        <f t="shared" si="36"/>
        <v>0</v>
      </c>
      <c r="J1161" t="str">
        <f t="shared" si="37"/>
        <v>601-750 (Good)</v>
      </c>
      <c r="K1161" s="1"/>
    </row>
    <row r="1162" spans="1:11" x14ac:dyDescent="0.35">
      <c r="A1162" t="s">
        <v>996</v>
      </c>
      <c r="B1162" t="s">
        <v>997</v>
      </c>
      <c r="C1162">
        <v>137099</v>
      </c>
      <c r="D1162">
        <v>535</v>
      </c>
      <c r="E1162">
        <v>21691</v>
      </c>
      <c r="F1162">
        <v>26</v>
      </c>
      <c r="G1162">
        <v>55</v>
      </c>
      <c r="H1162" t="b">
        <v>0</v>
      </c>
      <c r="I1162">
        <f t="shared" si="36"/>
        <v>0</v>
      </c>
      <c r="J1162" t="str">
        <f t="shared" si="37"/>
        <v>451-600 (Fair)</v>
      </c>
      <c r="K1162" s="1"/>
    </row>
    <row r="1163" spans="1:11" x14ac:dyDescent="0.35">
      <c r="A1163" t="s">
        <v>357</v>
      </c>
      <c r="B1163" t="s">
        <v>358</v>
      </c>
      <c r="C1163">
        <v>44371</v>
      </c>
      <c r="D1163">
        <v>342</v>
      </c>
      <c r="E1163">
        <v>21682</v>
      </c>
      <c r="F1163">
        <v>19</v>
      </c>
      <c r="G1163">
        <v>25</v>
      </c>
      <c r="H1163" t="b">
        <v>0</v>
      </c>
      <c r="I1163">
        <f t="shared" si="36"/>
        <v>0</v>
      </c>
      <c r="J1163" t="str">
        <f t="shared" si="37"/>
        <v>300-450 (Poor)</v>
      </c>
      <c r="K1163" s="1"/>
    </row>
    <row r="1164" spans="1:11" x14ac:dyDescent="0.35">
      <c r="A1164" t="s">
        <v>3715</v>
      </c>
      <c r="B1164" t="s">
        <v>3716</v>
      </c>
      <c r="C1164">
        <v>98955</v>
      </c>
      <c r="D1164">
        <v>303</v>
      </c>
      <c r="E1164">
        <v>21646</v>
      </c>
      <c r="F1164">
        <v>15</v>
      </c>
      <c r="G1164">
        <v>50</v>
      </c>
      <c r="H1164" t="b">
        <v>0</v>
      </c>
      <c r="I1164">
        <f t="shared" si="36"/>
        <v>0</v>
      </c>
      <c r="J1164" t="str">
        <f t="shared" si="37"/>
        <v>300-450 (Poor)</v>
      </c>
      <c r="K1164" s="1"/>
    </row>
    <row r="1165" spans="1:11" x14ac:dyDescent="0.35">
      <c r="A1165" t="s">
        <v>69</v>
      </c>
      <c r="B1165" t="s">
        <v>70</v>
      </c>
      <c r="C1165">
        <v>56062</v>
      </c>
      <c r="D1165">
        <v>362</v>
      </c>
      <c r="E1165">
        <v>21552</v>
      </c>
      <c r="F1165">
        <v>3</v>
      </c>
      <c r="G1165">
        <v>30</v>
      </c>
      <c r="H1165" t="b">
        <v>0</v>
      </c>
      <c r="I1165">
        <f t="shared" si="36"/>
        <v>0</v>
      </c>
      <c r="J1165" t="str">
        <f t="shared" si="37"/>
        <v>300-450 (Poor)</v>
      </c>
      <c r="K1165" s="1"/>
    </row>
    <row r="1166" spans="1:11" x14ac:dyDescent="0.35">
      <c r="A1166" t="s">
        <v>1741</v>
      </c>
      <c r="B1166" t="s">
        <v>1742</v>
      </c>
      <c r="C1166">
        <v>142293</v>
      </c>
      <c r="D1166">
        <v>686</v>
      </c>
      <c r="E1166">
        <v>21531</v>
      </c>
      <c r="F1166">
        <v>4</v>
      </c>
      <c r="G1166">
        <v>70</v>
      </c>
      <c r="H1166" t="b">
        <v>1</v>
      </c>
      <c r="I1166">
        <f t="shared" si="36"/>
        <v>1</v>
      </c>
      <c r="J1166" t="str">
        <f t="shared" si="37"/>
        <v>601-750 (Good)</v>
      </c>
      <c r="K1166" s="1"/>
    </row>
    <row r="1167" spans="1:11" x14ac:dyDescent="0.35">
      <c r="A1167" t="s">
        <v>922</v>
      </c>
      <c r="B1167" t="s">
        <v>923</v>
      </c>
      <c r="C1167">
        <v>118039</v>
      </c>
      <c r="D1167">
        <v>304</v>
      </c>
      <c r="E1167">
        <v>21526</v>
      </c>
      <c r="F1167">
        <v>15</v>
      </c>
      <c r="G1167">
        <v>55</v>
      </c>
      <c r="H1167" t="b">
        <v>0</v>
      </c>
      <c r="I1167">
        <f t="shared" si="36"/>
        <v>0</v>
      </c>
      <c r="J1167" t="str">
        <f t="shared" si="37"/>
        <v>300-450 (Poor)</v>
      </c>
      <c r="K1167" s="1"/>
    </row>
    <row r="1168" spans="1:11" x14ac:dyDescent="0.35">
      <c r="A1168" t="s">
        <v>2410</v>
      </c>
      <c r="B1168" t="s">
        <v>2411</v>
      </c>
      <c r="C1168">
        <v>59581</v>
      </c>
      <c r="D1168">
        <v>516</v>
      </c>
      <c r="E1168">
        <v>21519</v>
      </c>
      <c r="F1168">
        <v>32</v>
      </c>
      <c r="G1168">
        <v>40</v>
      </c>
      <c r="H1168" t="b">
        <v>0</v>
      </c>
      <c r="I1168">
        <f t="shared" si="36"/>
        <v>0</v>
      </c>
      <c r="J1168" t="str">
        <f t="shared" si="37"/>
        <v>451-600 (Fair)</v>
      </c>
      <c r="K1168" s="1"/>
    </row>
    <row r="1169" spans="1:11" x14ac:dyDescent="0.35">
      <c r="A1169" t="s">
        <v>3313</v>
      </c>
      <c r="B1169" t="s">
        <v>3314</v>
      </c>
      <c r="C1169">
        <v>112242</v>
      </c>
      <c r="D1169">
        <v>551</v>
      </c>
      <c r="E1169">
        <v>21451</v>
      </c>
      <c r="F1169">
        <v>34</v>
      </c>
      <c r="G1169">
        <v>55</v>
      </c>
      <c r="H1169" t="b">
        <v>0</v>
      </c>
      <c r="I1169">
        <f t="shared" si="36"/>
        <v>0</v>
      </c>
      <c r="J1169" t="str">
        <f t="shared" si="37"/>
        <v>451-600 (Fair)</v>
      </c>
      <c r="K1169" s="1"/>
    </row>
    <row r="1170" spans="1:11" x14ac:dyDescent="0.35">
      <c r="A1170" t="s">
        <v>145</v>
      </c>
      <c r="B1170" t="s">
        <v>146</v>
      </c>
      <c r="C1170">
        <v>46361</v>
      </c>
      <c r="D1170">
        <v>326</v>
      </c>
      <c r="E1170">
        <v>21444</v>
      </c>
      <c r="F1170">
        <v>36</v>
      </c>
      <c r="G1170">
        <v>25</v>
      </c>
      <c r="H1170" t="b">
        <v>0</v>
      </c>
      <c r="I1170">
        <f t="shared" si="36"/>
        <v>0</v>
      </c>
      <c r="J1170" t="str">
        <f t="shared" si="37"/>
        <v>300-450 (Poor)</v>
      </c>
      <c r="K1170" s="1"/>
    </row>
    <row r="1171" spans="1:11" x14ac:dyDescent="0.35">
      <c r="A1171" t="s">
        <v>1869</v>
      </c>
      <c r="B1171" t="s">
        <v>1870</v>
      </c>
      <c r="C1171">
        <v>145296</v>
      </c>
      <c r="D1171">
        <v>778</v>
      </c>
      <c r="E1171">
        <v>21412</v>
      </c>
      <c r="F1171">
        <v>10</v>
      </c>
      <c r="G1171">
        <v>90</v>
      </c>
      <c r="H1171" t="b">
        <v>1</v>
      </c>
      <c r="I1171">
        <f t="shared" si="36"/>
        <v>1</v>
      </c>
      <c r="J1171" t="str">
        <f t="shared" si="37"/>
        <v>751-850 (Excellent)</v>
      </c>
      <c r="K1171" s="1"/>
    </row>
    <row r="1172" spans="1:11" x14ac:dyDescent="0.35">
      <c r="A1172" t="s">
        <v>3460</v>
      </c>
      <c r="B1172" t="s">
        <v>3461</v>
      </c>
      <c r="C1172">
        <v>91797</v>
      </c>
      <c r="D1172">
        <v>378</v>
      </c>
      <c r="E1172">
        <v>21396</v>
      </c>
      <c r="F1172">
        <v>38</v>
      </c>
      <c r="G1172">
        <v>50</v>
      </c>
      <c r="H1172" t="b">
        <v>0</v>
      </c>
      <c r="I1172">
        <f t="shared" si="36"/>
        <v>0</v>
      </c>
      <c r="J1172" t="str">
        <f t="shared" si="37"/>
        <v>300-450 (Poor)</v>
      </c>
      <c r="K1172" s="1"/>
    </row>
    <row r="1173" spans="1:11" x14ac:dyDescent="0.35">
      <c r="A1173" t="s">
        <v>3217</v>
      </c>
      <c r="B1173" t="s">
        <v>3218</v>
      </c>
      <c r="C1173">
        <v>61091</v>
      </c>
      <c r="D1173">
        <v>498</v>
      </c>
      <c r="E1173">
        <v>21338</v>
      </c>
      <c r="F1173">
        <v>32</v>
      </c>
      <c r="G1173">
        <v>40</v>
      </c>
      <c r="H1173" t="b">
        <v>0</v>
      </c>
      <c r="I1173">
        <f t="shared" si="36"/>
        <v>0</v>
      </c>
      <c r="J1173" t="str">
        <f t="shared" si="37"/>
        <v>451-600 (Fair)</v>
      </c>
      <c r="K1173" s="1"/>
    </row>
    <row r="1174" spans="1:11" x14ac:dyDescent="0.35">
      <c r="A1174" t="s">
        <v>233</v>
      </c>
      <c r="B1174" t="s">
        <v>234</v>
      </c>
      <c r="C1174">
        <v>100010</v>
      </c>
      <c r="D1174">
        <v>340</v>
      </c>
      <c r="E1174">
        <v>21246</v>
      </c>
      <c r="F1174">
        <v>28</v>
      </c>
      <c r="G1174">
        <v>55</v>
      </c>
      <c r="H1174" t="b">
        <v>0</v>
      </c>
      <c r="I1174">
        <f t="shared" si="36"/>
        <v>0</v>
      </c>
      <c r="J1174" t="str">
        <f t="shared" si="37"/>
        <v>300-450 (Poor)</v>
      </c>
      <c r="K1174" s="1"/>
    </row>
    <row r="1175" spans="1:11" x14ac:dyDescent="0.35">
      <c r="A1175" t="s">
        <v>2118</v>
      </c>
      <c r="B1175" t="s">
        <v>2119</v>
      </c>
      <c r="C1175">
        <v>90910</v>
      </c>
      <c r="D1175">
        <v>395</v>
      </c>
      <c r="E1175">
        <v>21224</v>
      </c>
      <c r="F1175">
        <v>0</v>
      </c>
      <c r="G1175">
        <v>35</v>
      </c>
      <c r="H1175" t="b">
        <v>0</v>
      </c>
      <c r="I1175">
        <f t="shared" si="36"/>
        <v>0</v>
      </c>
      <c r="J1175" t="str">
        <f t="shared" si="37"/>
        <v>300-450 (Poor)</v>
      </c>
      <c r="K1175" s="1"/>
    </row>
    <row r="1176" spans="1:11" x14ac:dyDescent="0.35">
      <c r="A1176" t="s">
        <v>681</v>
      </c>
      <c r="B1176" t="s">
        <v>682</v>
      </c>
      <c r="C1176">
        <v>125561</v>
      </c>
      <c r="D1176">
        <v>762</v>
      </c>
      <c r="E1176">
        <v>21205</v>
      </c>
      <c r="F1176">
        <v>29</v>
      </c>
      <c r="G1176">
        <v>90</v>
      </c>
      <c r="H1176" t="b">
        <v>1</v>
      </c>
      <c r="I1176">
        <f t="shared" si="36"/>
        <v>1</v>
      </c>
      <c r="J1176" t="str">
        <f t="shared" si="37"/>
        <v>751-850 (Excellent)</v>
      </c>
      <c r="K1176" s="1"/>
    </row>
    <row r="1177" spans="1:11" x14ac:dyDescent="0.35">
      <c r="A1177" t="s">
        <v>542</v>
      </c>
      <c r="B1177" t="s">
        <v>543</v>
      </c>
      <c r="C1177">
        <v>144351</v>
      </c>
      <c r="D1177">
        <v>305</v>
      </c>
      <c r="E1177">
        <v>21202</v>
      </c>
      <c r="F1177">
        <v>28</v>
      </c>
      <c r="G1177">
        <v>55</v>
      </c>
      <c r="H1177" t="b">
        <v>0</v>
      </c>
      <c r="I1177">
        <f t="shared" si="36"/>
        <v>0</v>
      </c>
      <c r="J1177" t="str">
        <f t="shared" si="37"/>
        <v>300-450 (Poor)</v>
      </c>
      <c r="K1177" s="1"/>
    </row>
    <row r="1178" spans="1:11" x14ac:dyDescent="0.35">
      <c r="A1178" t="s">
        <v>3142</v>
      </c>
      <c r="B1178" t="s">
        <v>3143</v>
      </c>
      <c r="C1178">
        <v>119539</v>
      </c>
      <c r="D1178">
        <v>634</v>
      </c>
      <c r="E1178">
        <v>21194</v>
      </c>
      <c r="F1178">
        <v>30</v>
      </c>
      <c r="G1178">
        <v>70</v>
      </c>
      <c r="H1178" t="b">
        <v>1</v>
      </c>
      <c r="I1178">
        <f t="shared" si="36"/>
        <v>1</v>
      </c>
      <c r="J1178" t="str">
        <f t="shared" si="37"/>
        <v>601-750 (Good)</v>
      </c>
      <c r="K1178" s="1"/>
    </row>
    <row r="1179" spans="1:11" x14ac:dyDescent="0.35">
      <c r="A1179" t="s">
        <v>2392</v>
      </c>
      <c r="B1179" t="s">
        <v>2393</v>
      </c>
      <c r="C1179">
        <v>62530</v>
      </c>
      <c r="D1179">
        <v>427</v>
      </c>
      <c r="E1179">
        <v>21112</v>
      </c>
      <c r="F1179">
        <v>36</v>
      </c>
      <c r="G1179">
        <v>40</v>
      </c>
      <c r="H1179" t="b">
        <v>0</v>
      </c>
      <c r="I1179">
        <f t="shared" si="36"/>
        <v>0</v>
      </c>
      <c r="J1179" t="str">
        <f t="shared" si="37"/>
        <v>300-450 (Poor)</v>
      </c>
      <c r="K1179" s="1"/>
    </row>
    <row r="1180" spans="1:11" x14ac:dyDescent="0.35">
      <c r="A1180" t="s">
        <v>2106</v>
      </c>
      <c r="B1180" t="s">
        <v>2107</v>
      </c>
      <c r="C1180">
        <v>41359</v>
      </c>
      <c r="D1180">
        <v>813</v>
      </c>
      <c r="E1180">
        <v>21056</v>
      </c>
      <c r="F1180">
        <v>14</v>
      </c>
      <c r="G1180">
        <v>65</v>
      </c>
      <c r="H1180" t="b">
        <v>1</v>
      </c>
      <c r="I1180">
        <f t="shared" si="36"/>
        <v>1</v>
      </c>
      <c r="J1180" t="str">
        <f t="shared" si="37"/>
        <v>751-850 (Excellent)</v>
      </c>
      <c r="K1180" s="1"/>
    </row>
    <row r="1181" spans="1:11" x14ac:dyDescent="0.35">
      <c r="A1181" t="s">
        <v>97</v>
      </c>
      <c r="B1181" t="s">
        <v>98</v>
      </c>
      <c r="C1181">
        <v>135620</v>
      </c>
      <c r="D1181">
        <v>658</v>
      </c>
      <c r="E1181">
        <v>21000</v>
      </c>
      <c r="F1181">
        <v>14</v>
      </c>
      <c r="G1181">
        <v>70</v>
      </c>
      <c r="H1181" t="b">
        <v>1</v>
      </c>
      <c r="I1181">
        <f t="shared" si="36"/>
        <v>1</v>
      </c>
      <c r="J1181" t="str">
        <f t="shared" si="37"/>
        <v>601-750 (Good)</v>
      </c>
      <c r="K1181" s="1"/>
    </row>
    <row r="1182" spans="1:11" x14ac:dyDescent="0.35">
      <c r="A1182" t="s">
        <v>1121</v>
      </c>
      <c r="B1182" t="s">
        <v>1122</v>
      </c>
      <c r="C1182">
        <v>86333</v>
      </c>
      <c r="D1182">
        <v>324</v>
      </c>
      <c r="E1182">
        <v>20976</v>
      </c>
      <c r="F1182">
        <v>10</v>
      </c>
      <c r="G1182">
        <v>50</v>
      </c>
      <c r="H1182" t="b">
        <v>0</v>
      </c>
      <c r="I1182">
        <f t="shared" si="36"/>
        <v>0</v>
      </c>
      <c r="J1182" t="str">
        <f t="shared" si="37"/>
        <v>300-450 (Poor)</v>
      </c>
      <c r="K1182" s="1"/>
    </row>
    <row r="1183" spans="1:11" x14ac:dyDescent="0.35">
      <c r="A1183" t="s">
        <v>2703</v>
      </c>
      <c r="B1183" t="s">
        <v>2704</v>
      </c>
      <c r="C1183">
        <v>72372</v>
      </c>
      <c r="D1183">
        <v>783</v>
      </c>
      <c r="E1183">
        <v>20897</v>
      </c>
      <c r="F1183">
        <v>23</v>
      </c>
      <c r="G1183">
        <v>75</v>
      </c>
      <c r="H1183" t="b">
        <v>1</v>
      </c>
      <c r="I1183">
        <f t="shared" si="36"/>
        <v>1</v>
      </c>
      <c r="J1183" t="str">
        <f t="shared" si="37"/>
        <v>751-850 (Excellent)</v>
      </c>
      <c r="K1183" s="1"/>
    </row>
    <row r="1184" spans="1:11" x14ac:dyDescent="0.35">
      <c r="A1184" t="s">
        <v>3000</v>
      </c>
      <c r="B1184" t="s">
        <v>3001</v>
      </c>
      <c r="C1184">
        <v>115823</v>
      </c>
      <c r="D1184">
        <v>462</v>
      </c>
      <c r="E1184">
        <v>20891</v>
      </c>
      <c r="F1184">
        <v>35</v>
      </c>
      <c r="G1184">
        <v>55</v>
      </c>
      <c r="H1184" t="b">
        <v>0</v>
      </c>
      <c r="I1184">
        <f t="shared" si="36"/>
        <v>0</v>
      </c>
      <c r="J1184" t="str">
        <f t="shared" si="37"/>
        <v>451-600 (Fair)</v>
      </c>
      <c r="K1184" s="1"/>
    </row>
    <row r="1185" spans="1:11" x14ac:dyDescent="0.35">
      <c r="A1185" t="s">
        <v>500</v>
      </c>
      <c r="B1185" t="s">
        <v>501</v>
      </c>
      <c r="C1185">
        <v>37592</v>
      </c>
      <c r="D1185">
        <v>640</v>
      </c>
      <c r="E1185">
        <v>20869</v>
      </c>
      <c r="F1185">
        <v>0</v>
      </c>
      <c r="G1185">
        <v>25</v>
      </c>
      <c r="H1185" t="b">
        <v>0</v>
      </c>
      <c r="I1185">
        <f t="shared" si="36"/>
        <v>0</v>
      </c>
      <c r="J1185" t="str">
        <f t="shared" si="37"/>
        <v>601-750 (Good)</v>
      </c>
      <c r="K1185" s="1"/>
    </row>
    <row r="1186" spans="1:11" x14ac:dyDescent="0.35">
      <c r="A1186" t="s">
        <v>1607</v>
      </c>
      <c r="B1186" t="s">
        <v>1608</v>
      </c>
      <c r="C1186">
        <v>71588</v>
      </c>
      <c r="D1186">
        <v>704</v>
      </c>
      <c r="E1186">
        <v>20834</v>
      </c>
      <c r="F1186">
        <v>5</v>
      </c>
      <c r="G1186">
        <v>60</v>
      </c>
      <c r="H1186" t="b">
        <v>1</v>
      </c>
      <c r="I1186">
        <f t="shared" si="36"/>
        <v>1</v>
      </c>
      <c r="J1186" t="str">
        <f t="shared" si="37"/>
        <v>601-750 (Good)</v>
      </c>
      <c r="K1186" s="1"/>
    </row>
    <row r="1187" spans="1:11" x14ac:dyDescent="0.35">
      <c r="A1187" t="s">
        <v>488</v>
      </c>
      <c r="B1187" t="s">
        <v>489</v>
      </c>
      <c r="C1187">
        <v>77576</v>
      </c>
      <c r="D1187">
        <v>542</v>
      </c>
      <c r="E1187">
        <v>20776</v>
      </c>
      <c r="F1187">
        <v>9</v>
      </c>
      <c r="G1187">
        <v>40</v>
      </c>
      <c r="H1187" t="b">
        <v>0</v>
      </c>
      <c r="I1187">
        <f t="shared" si="36"/>
        <v>0</v>
      </c>
      <c r="J1187" t="str">
        <f t="shared" si="37"/>
        <v>451-600 (Fair)</v>
      </c>
      <c r="K1187" s="1"/>
    </row>
    <row r="1188" spans="1:11" x14ac:dyDescent="0.35">
      <c r="A1188" t="s">
        <v>817</v>
      </c>
      <c r="B1188" t="s">
        <v>818</v>
      </c>
      <c r="C1188">
        <v>68890</v>
      </c>
      <c r="D1188">
        <v>309</v>
      </c>
      <c r="E1188">
        <v>20733</v>
      </c>
      <c r="F1188">
        <v>26</v>
      </c>
      <c r="G1188">
        <v>40</v>
      </c>
      <c r="H1188" t="b">
        <v>0</v>
      </c>
      <c r="I1188">
        <f t="shared" si="36"/>
        <v>0</v>
      </c>
      <c r="J1188" t="str">
        <f t="shared" si="37"/>
        <v>300-450 (Poor)</v>
      </c>
      <c r="K1188" s="1"/>
    </row>
    <row r="1189" spans="1:11" x14ac:dyDescent="0.35">
      <c r="A1189" t="s">
        <v>2297</v>
      </c>
      <c r="B1189" t="s">
        <v>2298</v>
      </c>
      <c r="C1189">
        <v>68829</v>
      </c>
      <c r="D1189">
        <v>504</v>
      </c>
      <c r="E1189">
        <v>20730</v>
      </c>
      <c r="F1189">
        <v>19</v>
      </c>
      <c r="G1189">
        <v>40</v>
      </c>
      <c r="H1189" t="b">
        <v>0</v>
      </c>
      <c r="I1189">
        <f t="shared" si="36"/>
        <v>0</v>
      </c>
      <c r="J1189" t="str">
        <f t="shared" si="37"/>
        <v>451-600 (Fair)</v>
      </c>
      <c r="K1189" s="1"/>
    </row>
    <row r="1190" spans="1:11" x14ac:dyDescent="0.35">
      <c r="A1190" t="s">
        <v>2311</v>
      </c>
      <c r="B1190" t="s">
        <v>2312</v>
      </c>
      <c r="C1190">
        <v>100010</v>
      </c>
      <c r="D1190">
        <v>458</v>
      </c>
      <c r="E1190">
        <v>20719</v>
      </c>
      <c r="F1190">
        <v>40</v>
      </c>
      <c r="G1190">
        <v>55</v>
      </c>
      <c r="H1190" t="b">
        <v>0</v>
      </c>
      <c r="I1190">
        <f t="shared" si="36"/>
        <v>0</v>
      </c>
      <c r="J1190" t="str">
        <f t="shared" si="37"/>
        <v>451-600 (Fair)</v>
      </c>
      <c r="K1190" s="1"/>
    </row>
    <row r="1191" spans="1:11" x14ac:dyDescent="0.35">
      <c r="A1191" t="s">
        <v>378</v>
      </c>
      <c r="B1191" t="s">
        <v>379</v>
      </c>
      <c r="C1191">
        <v>108104</v>
      </c>
      <c r="D1191">
        <v>597</v>
      </c>
      <c r="E1191">
        <v>20657</v>
      </c>
      <c r="F1191">
        <v>10</v>
      </c>
      <c r="G1191">
        <v>70</v>
      </c>
      <c r="H1191" t="b">
        <v>1</v>
      </c>
      <c r="I1191">
        <f t="shared" si="36"/>
        <v>1</v>
      </c>
      <c r="J1191" t="str">
        <f t="shared" si="37"/>
        <v>451-600 (Fair)</v>
      </c>
      <c r="K1191" s="1"/>
    </row>
    <row r="1192" spans="1:11" x14ac:dyDescent="0.35">
      <c r="A1192" t="s">
        <v>492</v>
      </c>
      <c r="B1192" t="s">
        <v>493</v>
      </c>
      <c r="C1192">
        <v>139008</v>
      </c>
      <c r="D1192">
        <v>452</v>
      </c>
      <c r="E1192">
        <v>20653</v>
      </c>
      <c r="F1192">
        <v>24</v>
      </c>
      <c r="G1192">
        <v>55</v>
      </c>
      <c r="H1192" t="b">
        <v>0</v>
      </c>
      <c r="I1192">
        <f t="shared" si="36"/>
        <v>0</v>
      </c>
      <c r="J1192" t="str">
        <f t="shared" si="37"/>
        <v>451-600 (Fair)</v>
      </c>
      <c r="K1192" s="1"/>
    </row>
    <row r="1193" spans="1:11" x14ac:dyDescent="0.35">
      <c r="A1193" t="s">
        <v>2013</v>
      </c>
      <c r="B1193" t="s">
        <v>2014</v>
      </c>
      <c r="C1193">
        <v>135582</v>
      </c>
      <c r="D1193">
        <v>683</v>
      </c>
      <c r="E1193">
        <v>20613</v>
      </c>
      <c r="F1193">
        <v>23</v>
      </c>
      <c r="G1193">
        <v>80</v>
      </c>
      <c r="H1193" t="b">
        <v>1</v>
      </c>
      <c r="I1193">
        <f t="shared" si="36"/>
        <v>1</v>
      </c>
      <c r="J1193" t="str">
        <f t="shared" si="37"/>
        <v>601-750 (Good)</v>
      </c>
      <c r="K1193" s="1"/>
    </row>
    <row r="1194" spans="1:11" x14ac:dyDescent="0.35">
      <c r="A1194" t="s">
        <v>1942</v>
      </c>
      <c r="B1194" t="s">
        <v>1943</v>
      </c>
      <c r="C1194">
        <v>63586</v>
      </c>
      <c r="D1194">
        <v>701</v>
      </c>
      <c r="E1194">
        <v>20601</v>
      </c>
      <c r="F1194">
        <v>10</v>
      </c>
      <c r="G1194">
        <v>65</v>
      </c>
      <c r="H1194" t="b">
        <v>1</v>
      </c>
      <c r="I1194">
        <f t="shared" si="36"/>
        <v>1</v>
      </c>
      <c r="J1194" t="str">
        <f t="shared" si="37"/>
        <v>601-750 (Good)</v>
      </c>
      <c r="K1194" s="1"/>
    </row>
    <row r="1195" spans="1:11" x14ac:dyDescent="0.35">
      <c r="A1195" t="s">
        <v>1661</v>
      </c>
      <c r="B1195" t="s">
        <v>1662</v>
      </c>
      <c r="C1195">
        <v>98327</v>
      </c>
      <c r="D1195">
        <v>759</v>
      </c>
      <c r="E1195">
        <v>20527</v>
      </c>
      <c r="F1195">
        <v>36</v>
      </c>
      <c r="G1195">
        <v>85</v>
      </c>
      <c r="H1195" t="b">
        <v>1</v>
      </c>
      <c r="I1195">
        <f t="shared" si="36"/>
        <v>1</v>
      </c>
      <c r="J1195" t="str">
        <f t="shared" si="37"/>
        <v>751-850 (Excellent)</v>
      </c>
      <c r="K1195" s="1"/>
    </row>
    <row r="1196" spans="1:11" x14ac:dyDescent="0.35">
      <c r="A1196" t="s">
        <v>3064</v>
      </c>
      <c r="B1196" t="s">
        <v>3065</v>
      </c>
      <c r="C1196">
        <v>67667</v>
      </c>
      <c r="D1196">
        <v>322</v>
      </c>
      <c r="E1196">
        <v>20494</v>
      </c>
      <c r="F1196">
        <v>2</v>
      </c>
      <c r="G1196">
        <v>30</v>
      </c>
      <c r="H1196" t="b">
        <v>0</v>
      </c>
      <c r="I1196">
        <f t="shared" si="36"/>
        <v>0</v>
      </c>
      <c r="J1196" t="str">
        <f t="shared" si="37"/>
        <v>300-450 (Poor)</v>
      </c>
      <c r="K1196" s="1"/>
    </row>
    <row r="1197" spans="1:11" x14ac:dyDescent="0.35">
      <c r="A1197" t="s">
        <v>1368</v>
      </c>
      <c r="B1197" t="s">
        <v>1369</v>
      </c>
      <c r="C1197">
        <v>71145</v>
      </c>
      <c r="D1197">
        <v>667</v>
      </c>
      <c r="E1197">
        <v>20384</v>
      </c>
      <c r="F1197">
        <v>15</v>
      </c>
      <c r="G1197">
        <v>55</v>
      </c>
      <c r="H1197" t="b">
        <v>0</v>
      </c>
      <c r="I1197">
        <f t="shared" si="36"/>
        <v>0</v>
      </c>
      <c r="J1197" t="str">
        <f t="shared" si="37"/>
        <v>601-750 (Good)</v>
      </c>
      <c r="K1197" s="1"/>
    </row>
    <row r="1198" spans="1:11" x14ac:dyDescent="0.35">
      <c r="A1198" t="s">
        <v>1650</v>
      </c>
      <c r="B1198" t="s">
        <v>1651</v>
      </c>
      <c r="C1198">
        <v>62406</v>
      </c>
      <c r="D1198">
        <v>832</v>
      </c>
      <c r="E1198">
        <v>20380</v>
      </c>
      <c r="F1198">
        <v>26</v>
      </c>
      <c r="G1198">
        <v>80</v>
      </c>
      <c r="H1198" t="b">
        <v>1</v>
      </c>
      <c r="I1198">
        <f t="shared" si="36"/>
        <v>1</v>
      </c>
      <c r="J1198" t="str">
        <f t="shared" si="37"/>
        <v>751-850 (Excellent)</v>
      </c>
      <c r="K1198" s="1"/>
    </row>
    <row r="1199" spans="1:11" x14ac:dyDescent="0.35">
      <c r="A1199" t="s">
        <v>508</v>
      </c>
      <c r="B1199" t="s">
        <v>509</v>
      </c>
      <c r="C1199">
        <v>40322</v>
      </c>
      <c r="D1199">
        <v>727</v>
      </c>
      <c r="E1199">
        <v>20345</v>
      </c>
      <c r="F1199">
        <v>9</v>
      </c>
      <c r="G1199">
        <v>45</v>
      </c>
      <c r="H1199" t="b">
        <v>0</v>
      </c>
      <c r="I1199">
        <f t="shared" si="36"/>
        <v>0</v>
      </c>
      <c r="J1199" t="str">
        <f t="shared" si="37"/>
        <v>601-750 (Good)</v>
      </c>
      <c r="K1199" s="1"/>
    </row>
    <row r="1200" spans="1:11" x14ac:dyDescent="0.35">
      <c r="A1200" t="s">
        <v>1358</v>
      </c>
      <c r="B1200" t="s">
        <v>1359</v>
      </c>
      <c r="C1200">
        <v>86531</v>
      </c>
      <c r="D1200">
        <v>525</v>
      </c>
      <c r="E1200">
        <v>20343</v>
      </c>
      <c r="F1200">
        <v>38</v>
      </c>
      <c r="G1200">
        <v>50</v>
      </c>
      <c r="H1200" t="b">
        <v>0</v>
      </c>
      <c r="I1200">
        <f t="shared" si="36"/>
        <v>0</v>
      </c>
      <c r="J1200" t="str">
        <f t="shared" si="37"/>
        <v>451-600 (Fair)</v>
      </c>
      <c r="K1200" s="1"/>
    </row>
    <row r="1201" spans="1:11" x14ac:dyDescent="0.35">
      <c r="A1201" t="s">
        <v>237</v>
      </c>
      <c r="B1201" t="s">
        <v>238</v>
      </c>
      <c r="C1201">
        <v>62087</v>
      </c>
      <c r="D1201">
        <v>793</v>
      </c>
      <c r="E1201">
        <v>20342</v>
      </c>
      <c r="F1201">
        <v>21</v>
      </c>
      <c r="G1201">
        <v>75</v>
      </c>
      <c r="H1201" t="b">
        <v>1</v>
      </c>
      <c r="I1201">
        <f t="shared" si="36"/>
        <v>1</v>
      </c>
      <c r="J1201" t="str">
        <f t="shared" si="37"/>
        <v>751-850 (Excellent)</v>
      </c>
      <c r="K1201" s="1"/>
    </row>
    <row r="1202" spans="1:11" x14ac:dyDescent="0.35">
      <c r="A1202" t="s">
        <v>728</v>
      </c>
      <c r="B1202" t="s">
        <v>729</v>
      </c>
      <c r="C1202">
        <v>144620</v>
      </c>
      <c r="D1202">
        <v>334</v>
      </c>
      <c r="E1202">
        <v>20327</v>
      </c>
      <c r="F1202">
        <v>1</v>
      </c>
      <c r="G1202">
        <v>40</v>
      </c>
      <c r="H1202" t="b">
        <v>0</v>
      </c>
      <c r="I1202">
        <f t="shared" si="36"/>
        <v>0</v>
      </c>
      <c r="J1202" t="str">
        <f t="shared" si="37"/>
        <v>300-450 (Poor)</v>
      </c>
      <c r="K1202" s="1"/>
    </row>
    <row r="1203" spans="1:11" x14ac:dyDescent="0.35">
      <c r="A1203" t="s">
        <v>2287</v>
      </c>
      <c r="B1203" t="s">
        <v>2288</v>
      </c>
      <c r="C1203">
        <v>108222</v>
      </c>
      <c r="D1203">
        <v>366</v>
      </c>
      <c r="E1203">
        <v>20315</v>
      </c>
      <c r="F1203">
        <v>0</v>
      </c>
      <c r="G1203">
        <v>40</v>
      </c>
      <c r="H1203" t="b">
        <v>0</v>
      </c>
      <c r="I1203">
        <f t="shared" si="36"/>
        <v>0</v>
      </c>
      <c r="J1203" t="str">
        <f t="shared" si="37"/>
        <v>300-450 (Poor)</v>
      </c>
      <c r="K1203" s="1"/>
    </row>
    <row r="1204" spans="1:11" x14ac:dyDescent="0.35">
      <c r="A1204" t="s">
        <v>1300</v>
      </c>
      <c r="B1204" t="s">
        <v>1301</v>
      </c>
      <c r="C1204">
        <v>108193</v>
      </c>
      <c r="D1204">
        <v>559</v>
      </c>
      <c r="E1204">
        <v>20304</v>
      </c>
      <c r="F1204">
        <v>29</v>
      </c>
      <c r="G1204">
        <v>55</v>
      </c>
      <c r="H1204" t="b">
        <v>0</v>
      </c>
      <c r="I1204">
        <f t="shared" si="36"/>
        <v>0</v>
      </c>
      <c r="J1204" t="str">
        <f t="shared" si="37"/>
        <v>451-600 (Fair)</v>
      </c>
      <c r="K1204" s="1"/>
    </row>
    <row r="1205" spans="1:11" x14ac:dyDescent="0.35">
      <c r="A1205" t="s">
        <v>3487</v>
      </c>
      <c r="B1205" t="s">
        <v>3488</v>
      </c>
      <c r="C1205">
        <v>69608</v>
      </c>
      <c r="D1205">
        <v>405</v>
      </c>
      <c r="E1205">
        <v>20294</v>
      </c>
      <c r="F1205">
        <v>1</v>
      </c>
      <c r="G1205">
        <v>25</v>
      </c>
      <c r="H1205" t="b">
        <v>0</v>
      </c>
      <c r="I1205">
        <f t="shared" si="36"/>
        <v>0</v>
      </c>
      <c r="J1205" t="str">
        <f t="shared" si="37"/>
        <v>300-450 (Poor)</v>
      </c>
      <c r="K1205" s="1"/>
    </row>
    <row r="1206" spans="1:11" x14ac:dyDescent="0.35">
      <c r="A1206" t="s">
        <v>2255</v>
      </c>
      <c r="B1206" t="s">
        <v>2256</v>
      </c>
      <c r="C1206">
        <v>71359</v>
      </c>
      <c r="D1206">
        <v>498</v>
      </c>
      <c r="E1206">
        <v>20267</v>
      </c>
      <c r="F1206">
        <v>12</v>
      </c>
      <c r="G1206">
        <v>40</v>
      </c>
      <c r="H1206" t="b">
        <v>0</v>
      </c>
      <c r="I1206">
        <f t="shared" si="36"/>
        <v>0</v>
      </c>
      <c r="J1206" t="str">
        <f t="shared" si="37"/>
        <v>451-600 (Fair)</v>
      </c>
      <c r="K1206" s="1"/>
    </row>
    <row r="1207" spans="1:11" x14ac:dyDescent="0.35">
      <c r="A1207" t="s">
        <v>789</v>
      </c>
      <c r="B1207" t="s">
        <v>790</v>
      </c>
      <c r="C1207">
        <v>132769</v>
      </c>
      <c r="D1207">
        <v>485</v>
      </c>
      <c r="E1207">
        <v>20253</v>
      </c>
      <c r="F1207">
        <v>6</v>
      </c>
      <c r="G1207">
        <v>50</v>
      </c>
      <c r="H1207" t="b">
        <v>0</v>
      </c>
      <c r="I1207">
        <f t="shared" si="36"/>
        <v>0</v>
      </c>
      <c r="J1207" t="str">
        <f t="shared" si="37"/>
        <v>451-600 (Fair)</v>
      </c>
      <c r="K1207" s="1"/>
    </row>
    <row r="1208" spans="1:11" x14ac:dyDescent="0.35">
      <c r="A1208" t="s">
        <v>1969</v>
      </c>
      <c r="B1208" t="s">
        <v>1970</v>
      </c>
      <c r="C1208">
        <v>105849</v>
      </c>
      <c r="D1208">
        <v>831</v>
      </c>
      <c r="E1208">
        <v>20228</v>
      </c>
      <c r="F1208">
        <v>34</v>
      </c>
      <c r="G1208">
        <v>95</v>
      </c>
      <c r="H1208" t="b">
        <v>1</v>
      </c>
      <c r="I1208">
        <f t="shared" si="36"/>
        <v>1</v>
      </c>
      <c r="J1208" t="str">
        <f t="shared" si="37"/>
        <v>751-850 (Excellent)</v>
      </c>
      <c r="K1208" s="1"/>
    </row>
    <row r="1209" spans="1:11" x14ac:dyDescent="0.35">
      <c r="A1209" t="s">
        <v>1187</v>
      </c>
      <c r="B1209" t="s">
        <v>1188</v>
      </c>
      <c r="C1209">
        <v>126542</v>
      </c>
      <c r="D1209">
        <v>366</v>
      </c>
      <c r="E1209">
        <v>20191</v>
      </c>
      <c r="F1209">
        <v>30</v>
      </c>
      <c r="G1209">
        <v>55</v>
      </c>
      <c r="H1209" t="b">
        <v>0</v>
      </c>
      <c r="I1209">
        <f t="shared" si="36"/>
        <v>0</v>
      </c>
      <c r="J1209" t="str">
        <f t="shared" si="37"/>
        <v>300-450 (Poor)</v>
      </c>
      <c r="K1209" s="1"/>
    </row>
    <row r="1210" spans="1:11" x14ac:dyDescent="0.35">
      <c r="A1210" t="s">
        <v>3555</v>
      </c>
      <c r="B1210" t="s">
        <v>3556</v>
      </c>
      <c r="C1210">
        <v>34288</v>
      </c>
      <c r="D1210">
        <v>819</v>
      </c>
      <c r="E1210">
        <v>20127</v>
      </c>
      <c r="F1210">
        <v>8</v>
      </c>
      <c r="G1210">
        <v>60</v>
      </c>
      <c r="H1210" t="b">
        <v>1</v>
      </c>
      <c r="I1210">
        <f t="shared" si="36"/>
        <v>1</v>
      </c>
      <c r="J1210" t="str">
        <f t="shared" si="37"/>
        <v>751-850 (Excellent)</v>
      </c>
      <c r="K1210" s="1"/>
    </row>
    <row r="1211" spans="1:11" x14ac:dyDescent="0.35">
      <c r="A1211" t="s">
        <v>2054</v>
      </c>
      <c r="B1211" t="s">
        <v>2055</v>
      </c>
      <c r="C1211">
        <v>77472</v>
      </c>
      <c r="D1211">
        <v>543</v>
      </c>
      <c r="E1211">
        <v>20126</v>
      </c>
      <c r="F1211">
        <v>2</v>
      </c>
      <c r="G1211">
        <v>35</v>
      </c>
      <c r="H1211" t="b">
        <v>0</v>
      </c>
      <c r="I1211">
        <f t="shared" si="36"/>
        <v>0</v>
      </c>
      <c r="J1211" t="str">
        <f t="shared" si="37"/>
        <v>451-600 (Fair)</v>
      </c>
      <c r="K1211" s="1"/>
    </row>
    <row r="1212" spans="1:11" x14ac:dyDescent="0.35">
      <c r="A1212" t="s">
        <v>2876</v>
      </c>
      <c r="B1212" t="s">
        <v>2877</v>
      </c>
      <c r="C1212">
        <v>67072</v>
      </c>
      <c r="D1212">
        <v>619</v>
      </c>
      <c r="E1212">
        <v>20099</v>
      </c>
      <c r="F1212">
        <v>6</v>
      </c>
      <c r="G1212">
        <v>50</v>
      </c>
      <c r="H1212" t="b">
        <v>0</v>
      </c>
      <c r="I1212">
        <f t="shared" si="36"/>
        <v>0</v>
      </c>
      <c r="J1212" t="str">
        <f t="shared" si="37"/>
        <v>601-750 (Good)</v>
      </c>
      <c r="K1212" s="1"/>
    </row>
    <row r="1213" spans="1:11" x14ac:dyDescent="0.35">
      <c r="A1213" t="s">
        <v>179</v>
      </c>
      <c r="B1213" t="s">
        <v>180</v>
      </c>
      <c r="C1213">
        <v>59871</v>
      </c>
      <c r="D1213">
        <v>781</v>
      </c>
      <c r="E1213">
        <v>20087</v>
      </c>
      <c r="F1213">
        <v>2</v>
      </c>
      <c r="G1213">
        <v>65</v>
      </c>
      <c r="H1213" t="b">
        <v>1</v>
      </c>
      <c r="I1213">
        <f t="shared" si="36"/>
        <v>1</v>
      </c>
      <c r="J1213" t="str">
        <f t="shared" si="37"/>
        <v>751-850 (Excellent)</v>
      </c>
      <c r="K1213" s="1"/>
    </row>
    <row r="1214" spans="1:11" x14ac:dyDescent="0.35">
      <c r="A1214" t="s">
        <v>1162</v>
      </c>
      <c r="B1214" t="s">
        <v>1163</v>
      </c>
      <c r="C1214">
        <v>111351</v>
      </c>
      <c r="D1214">
        <v>494</v>
      </c>
      <c r="E1214">
        <v>20082</v>
      </c>
      <c r="F1214">
        <v>28</v>
      </c>
      <c r="G1214">
        <v>55</v>
      </c>
      <c r="H1214" t="b">
        <v>0</v>
      </c>
      <c r="I1214">
        <f t="shared" si="36"/>
        <v>0</v>
      </c>
      <c r="J1214" t="str">
        <f t="shared" si="37"/>
        <v>451-600 (Fair)</v>
      </c>
      <c r="K1214" s="1"/>
    </row>
    <row r="1215" spans="1:11" x14ac:dyDescent="0.35">
      <c r="A1215" t="s">
        <v>2468</v>
      </c>
      <c r="B1215" t="s">
        <v>2469</v>
      </c>
      <c r="C1215">
        <v>50517</v>
      </c>
      <c r="D1215">
        <v>329</v>
      </c>
      <c r="E1215">
        <v>20066</v>
      </c>
      <c r="F1215">
        <v>17</v>
      </c>
      <c r="G1215">
        <v>40</v>
      </c>
      <c r="H1215" t="b">
        <v>0</v>
      </c>
      <c r="I1215">
        <f t="shared" si="36"/>
        <v>0</v>
      </c>
      <c r="J1215" t="str">
        <f t="shared" si="37"/>
        <v>300-450 (Poor)</v>
      </c>
      <c r="K1215" s="1"/>
    </row>
    <row r="1216" spans="1:11" x14ac:dyDescent="0.35">
      <c r="A1216" t="s">
        <v>2126</v>
      </c>
      <c r="B1216" t="s">
        <v>2127</v>
      </c>
      <c r="C1216">
        <v>79674</v>
      </c>
      <c r="D1216">
        <v>647</v>
      </c>
      <c r="E1216">
        <v>20060</v>
      </c>
      <c r="F1216">
        <v>23</v>
      </c>
      <c r="G1216">
        <v>60</v>
      </c>
      <c r="H1216" t="b">
        <v>1</v>
      </c>
      <c r="I1216">
        <f t="shared" si="36"/>
        <v>1</v>
      </c>
      <c r="J1216" t="str">
        <f t="shared" si="37"/>
        <v>601-750 (Good)</v>
      </c>
      <c r="K1216" s="1"/>
    </row>
    <row r="1217" spans="1:11" x14ac:dyDescent="0.35">
      <c r="A1217" t="s">
        <v>1764</v>
      </c>
      <c r="B1217" t="s">
        <v>1765</v>
      </c>
      <c r="C1217">
        <v>146869</v>
      </c>
      <c r="D1217">
        <v>445</v>
      </c>
      <c r="E1217">
        <v>20043</v>
      </c>
      <c r="F1217">
        <v>28</v>
      </c>
      <c r="G1217">
        <v>55</v>
      </c>
      <c r="H1217" t="b">
        <v>0</v>
      </c>
      <c r="I1217">
        <f t="shared" si="36"/>
        <v>0</v>
      </c>
      <c r="J1217" t="str">
        <f t="shared" si="37"/>
        <v>300-450 (Poor)</v>
      </c>
      <c r="K1217" s="1"/>
    </row>
    <row r="1218" spans="1:11" x14ac:dyDescent="0.35">
      <c r="A1218" t="s">
        <v>2895</v>
      </c>
      <c r="B1218" t="s">
        <v>2896</v>
      </c>
      <c r="C1218">
        <v>88529</v>
      </c>
      <c r="D1218">
        <v>419</v>
      </c>
      <c r="E1218">
        <v>20034</v>
      </c>
      <c r="F1218">
        <v>0</v>
      </c>
      <c r="G1218">
        <v>35</v>
      </c>
      <c r="H1218" t="b">
        <v>0</v>
      </c>
      <c r="I1218">
        <f t="shared" si="36"/>
        <v>0</v>
      </c>
      <c r="J1218" t="str">
        <f t="shared" si="37"/>
        <v>300-450 (Poor)</v>
      </c>
      <c r="K1218" s="1"/>
    </row>
    <row r="1219" spans="1:11" x14ac:dyDescent="0.35">
      <c r="A1219" t="s">
        <v>3110</v>
      </c>
      <c r="B1219" t="s">
        <v>3111</v>
      </c>
      <c r="C1219">
        <v>86450</v>
      </c>
      <c r="D1219">
        <v>340</v>
      </c>
      <c r="E1219">
        <v>20024</v>
      </c>
      <c r="F1219">
        <v>38</v>
      </c>
      <c r="G1219">
        <v>50</v>
      </c>
      <c r="H1219" t="b">
        <v>0</v>
      </c>
      <c r="I1219">
        <f t="shared" si="36"/>
        <v>0</v>
      </c>
      <c r="J1219" t="str">
        <f t="shared" si="37"/>
        <v>300-450 (Poor)</v>
      </c>
      <c r="K1219" s="1"/>
    </row>
    <row r="1220" spans="1:11" x14ac:dyDescent="0.35">
      <c r="A1220" t="s">
        <v>606</v>
      </c>
      <c r="B1220" t="s">
        <v>607</v>
      </c>
      <c r="C1220">
        <v>122778</v>
      </c>
      <c r="D1220">
        <v>599</v>
      </c>
      <c r="E1220">
        <v>19961</v>
      </c>
      <c r="F1220">
        <v>36</v>
      </c>
      <c r="G1220">
        <v>70</v>
      </c>
      <c r="H1220" t="b">
        <v>1</v>
      </c>
      <c r="I1220">
        <f t="shared" ref="I1220:I1283" si="38">--H1220</f>
        <v>1</v>
      </c>
      <c r="J1220" t="str">
        <f t="shared" ref="J1220:J1283" si="39">IF(D1220&gt;750, "751-850 (Excellent)", IF(D1220&gt;600, "601-750 (Good)", IF(D1220&gt;450, "451-600 (Fair)", "300-450 (Poor)")))</f>
        <v>451-600 (Fair)</v>
      </c>
      <c r="K1220" s="1"/>
    </row>
    <row r="1221" spans="1:11" x14ac:dyDescent="0.35">
      <c r="A1221" t="s">
        <v>596</v>
      </c>
      <c r="B1221" t="s">
        <v>597</v>
      </c>
      <c r="C1221">
        <v>60161</v>
      </c>
      <c r="D1221">
        <v>850</v>
      </c>
      <c r="E1221">
        <v>19918</v>
      </c>
      <c r="F1221">
        <v>10</v>
      </c>
      <c r="G1221">
        <v>80</v>
      </c>
      <c r="H1221" t="b">
        <v>1</v>
      </c>
      <c r="I1221">
        <f t="shared" si="38"/>
        <v>1</v>
      </c>
      <c r="J1221" t="str">
        <f t="shared" si="39"/>
        <v>751-850 (Excellent)</v>
      </c>
      <c r="K1221" s="1"/>
    </row>
    <row r="1222" spans="1:11" x14ac:dyDescent="0.35">
      <c r="A1222" t="s">
        <v>193</v>
      </c>
      <c r="B1222" t="s">
        <v>194</v>
      </c>
      <c r="C1222">
        <v>43238</v>
      </c>
      <c r="D1222">
        <v>807</v>
      </c>
      <c r="E1222">
        <v>19888</v>
      </c>
      <c r="F1222">
        <v>25</v>
      </c>
      <c r="G1222">
        <v>65</v>
      </c>
      <c r="H1222" t="b">
        <v>1</v>
      </c>
      <c r="I1222">
        <f t="shared" si="38"/>
        <v>1</v>
      </c>
      <c r="J1222" t="str">
        <f t="shared" si="39"/>
        <v>751-850 (Excellent)</v>
      </c>
      <c r="K1222" s="1"/>
    </row>
    <row r="1223" spans="1:11" x14ac:dyDescent="0.35">
      <c r="A1223" t="s">
        <v>2350</v>
      </c>
      <c r="B1223" t="s">
        <v>2351</v>
      </c>
      <c r="C1223">
        <v>74657</v>
      </c>
      <c r="D1223">
        <v>461</v>
      </c>
      <c r="E1223">
        <v>19878</v>
      </c>
      <c r="F1223">
        <v>4</v>
      </c>
      <c r="G1223">
        <v>30</v>
      </c>
      <c r="H1223" t="b">
        <v>0</v>
      </c>
      <c r="I1223">
        <f t="shared" si="38"/>
        <v>0</v>
      </c>
      <c r="J1223" t="str">
        <f t="shared" si="39"/>
        <v>451-600 (Fair)</v>
      </c>
      <c r="K1223" s="1"/>
    </row>
    <row r="1224" spans="1:11" x14ac:dyDescent="0.35">
      <c r="A1224" t="s">
        <v>3202</v>
      </c>
      <c r="B1224" t="s">
        <v>3203</v>
      </c>
      <c r="C1224">
        <v>89878</v>
      </c>
      <c r="D1224">
        <v>300</v>
      </c>
      <c r="E1224">
        <v>19822</v>
      </c>
      <c r="F1224">
        <v>29</v>
      </c>
      <c r="G1224">
        <v>50</v>
      </c>
      <c r="H1224" t="b">
        <v>0</v>
      </c>
      <c r="I1224">
        <f t="shared" si="38"/>
        <v>0</v>
      </c>
      <c r="J1224" t="str">
        <f t="shared" si="39"/>
        <v>300-450 (Poor)</v>
      </c>
      <c r="K1224" s="1"/>
    </row>
    <row r="1225" spans="1:11" x14ac:dyDescent="0.35">
      <c r="A1225" t="s">
        <v>980</v>
      </c>
      <c r="B1225" t="s">
        <v>981</v>
      </c>
      <c r="C1225">
        <v>122214</v>
      </c>
      <c r="D1225">
        <v>833</v>
      </c>
      <c r="E1225">
        <v>19774</v>
      </c>
      <c r="F1225">
        <v>38</v>
      </c>
      <c r="G1225">
        <v>95</v>
      </c>
      <c r="H1225" t="b">
        <v>1</v>
      </c>
      <c r="I1225">
        <f t="shared" si="38"/>
        <v>1</v>
      </c>
      <c r="J1225" t="str">
        <f t="shared" si="39"/>
        <v>751-850 (Excellent)</v>
      </c>
      <c r="K1225" s="1"/>
    </row>
    <row r="1226" spans="1:11" x14ac:dyDescent="0.35">
      <c r="A1226" t="s">
        <v>982</v>
      </c>
      <c r="B1226" t="s">
        <v>983</v>
      </c>
      <c r="C1226">
        <v>69651</v>
      </c>
      <c r="D1226">
        <v>830</v>
      </c>
      <c r="E1226">
        <v>19743</v>
      </c>
      <c r="F1226">
        <v>12</v>
      </c>
      <c r="G1226">
        <v>80</v>
      </c>
      <c r="H1226" t="b">
        <v>1</v>
      </c>
      <c r="I1226">
        <f t="shared" si="38"/>
        <v>1</v>
      </c>
      <c r="J1226" t="str">
        <f t="shared" si="39"/>
        <v>751-850 (Excellent)</v>
      </c>
      <c r="K1226" s="1"/>
    </row>
    <row r="1227" spans="1:11" x14ac:dyDescent="0.35">
      <c r="A1227" t="s">
        <v>3815</v>
      </c>
      <c r="B1227" t="s">
        <v>3816</v>
      </c>
      <c r="C1227">
        <v>99541</v>
      </c>
      <c r="D1227">
        <v>758</v>
      </c>
      <c r="E1227">
        <v>19708</v>
      </c>
      <c r="F1227">
        <v>34</v>
      </c>
      <c r="G1227">
        <v>85</v>
      </c>
      <c r="H1227" t="b">
        <v>1</v>
      </c>
      <c r="I1227">
        <f t="shared" si="38"/>
        <v>1</v>
      </c>
      <c r="J1227" t="str">
        <f t="shared" si="39"/>
        <v>751-850 (Excellent)</v>
      </c>
      <c r="K1227" s="1"/>
    </row>
    <row r="1228" spans="1:11" x14ac:dyDescent="0.35">
      <c r="A1228" t="s">
        <v>3691</v>
      </c>
      <c r="B1228" t="s">
        <v>3692</v>
      </c>
      <c r="C1228">
        <v>76955</v>
      </c>
      <c r="D1228">
        <v>680</v>
      </c>
      <c r="E1228">
        <v>19680</v>
      </c>
      <c r="F1228">
        <v>27</v>
      </c>
      <c r="G1228">
        <v>70</v>
      </c>
      <c r="H1228" t="b">
        <v>1</v>
      </c>
      <c r="I1228">
        <f t="shared" si="38"/>
        <v>1</v>
      </c>
      <c r="J1228" t="str">
        <f t="shared" si="39"/>
        <v>601-750 (Good)</v>
      </c>
      <c r="K1228" s="1"/>
    </row>
    <row r="1229" spans="1:11" x14ac:dyDescent="0.35">
      <c r="A1229" t="s">
        <v>2590</v>
      </c>
      <c r="B1229" t="s">
        <v>2591</v>
      </c>
      <c r="C1229">
        <v>126276</v>
      </c>
      <c r="D1229">
        <v>454</v>
      </c>
      <c r="E1229">
        <v>19675</v>
      </c>
      <c r="F1229">
        <v>19</v>
      </c>
      <c r="G1229">
        <v>55</v>
      </c>
      <c r="H1229" t="b">
        <v>0</v>
      </c>
      <c r="I1229">
        <f t="shared" si="38"/>
        <v>0</v>
      </c>
      <c r="J1229" t="str">
        <f t="shared" si="39"/>
        <v>451-600 (Fair)</v>
      </c>
      <c r="K1229" s="1"/>
    </row>
    <row r="1230" spans="1:11" x14ac:dyDescent="0.35">
      <c r="A1230" t="s">
        <v>1485</v>
      </c>
      <c r="B1230" t="s">
        <v>1486</v>
      </c>
      <c r="C1230">
        <v>111167</v>
      </c>
      <c r="D1230">
        <v>661</v>
      </c>
      <c r="E1230">
        <v>19640</v>
      </c>
      <c r="F1230">
        <v>20</v>
      </c>
      <c r="G1230">
        <v>70</v>
      </c>
      <c r="H1230" t="b">
        <v>1</v>
      </c>
      <c r="I1230">
        <f t="shared" si="38"/>
        <v>1</v>
      </c>
      <c r="J1230" t="str">
        <f t="shared" si="39"/>
        <v>601-750 (Good)</v>
      </c>
      <c r="K1230" s="1"/>
    </row>
    <row r="1231" spans="1:11" x14ac:dyDescent="0.35">
      <c r="A1231" t="s">
        <v>1579</v>
      </c>
      <c r="B1231" t="s">
        <v>1580</v>
      </c>
      <c r="C1231">
        <v>97889</v>
      </c>
      <c r="D1231">
        <v>326</v>
      </c>
      <c r="E1231">
        <v>19630</v>
      </c>
      <c r="F1231">
        <v>7</v>
      </c>
      <c r="G1231">
        <v>45</v>
      </c>
      <c r="H1231" t="b">
        <v>0</v>
      </c>
      <c r="I1231">
        <f t="shared" si="38"/>
        <v>0</v>
      </c>
      <c r="J1231" t="str">
        <f t="shared" si="39"/>
        <v>300-450 (Poor)</v>
      </c>
      <c r="K1231" s="1"/>
    </row>
    <row r="1232" spans="1:11" x14ac:dyDescent="0.35">
      <c r="A1232" t="s">
        <v>3610</v>
      </c>
      <c r="B1232" t="s">
        <v>3611</v>
      </c>
      <c r="C1232">
        <v>113819</v>
      </c>
      <c r="D1232">
        <v>402</v>
      </c>
      <c r="E1232">
        <v>19606</v>
      </c>
      <c r="F1232">
        <v>19</v>
      </c>
      <c r="G1232">
        <v>55</v>
      </c>
      <c r="H1232" t="b">
        <v>0</v>
      </c>
      <c r="I1232">
        <f t="shared" si="38"/>
        <v>0</v>
      </c>
      <c r="J1232" t="str">
        <f t="shared" si="39"/>
        <v>300-450 (Poor)</v>
      </c>
      <c r="K1232" s="1"/>
    </row>
    <row r="1233" spans="1:11" x14ac:dyDescent="0.35">
      <c r="A1233" t="s">
        <v>2692</v>
      </c>
      <c r="B1233" t="s">
        <v>2693</v>
      </c>
      <c r="C1233">
        <v>102102</v>
      </c>
      <c r="D1233">
        <v>826</v>
      </c>
      <c r="E1233">
        <v>19596</v>
      </c>
      <c r="F1233">
        <v>19</v>
      </c>
      <c r="G1233">
        <v>95</v>
      </c>
      <c r="H1233" t="b">
        <v>1</v>
      </c>
      <c r="I1233">
        <f t="shared" si="38"/>
        <v>1</v>
      </c>
      <c r="J1233" t="str">
        <f t="shared" si="39"/>
        <v>751-850 (Excellent)</v>
      </c>
      <c r="K1233" s="1"/>
    </row>
    <row r="1234" spans="1:11" x14ac:dyDescent="0.35">
      <c r="A1234" t="s">
        <v>3593</v>
      </c>
      <c r="B1234" t="s">
        <v>3594</v>
      </c>
      <c r="C1234">
        <v>54878</v>
      </c>
      <c r="D1234">
        <v>411</v>
      </c>
      <c r="E1234">
        <v>19578</v>
      </c>
      <c r="F1234">
        <v>5</v>
      </c>
      <c r="G1234">
        <v>35</v>
      </c>
      <c r="H1234" t="b">
        <v>0</v>
      </c>
      <c r="I1234">
        <f t="shared" si="38"/>
        <v>0</v>
      </c>
      <c r="J1234" t="str">
        <f t="shared" si="39"/>
        <v>300-450 (Poor)</v>
      </c>
      <c r="K1234" s="1"/>
    </row>
    <row r="1235" spans="1:11" x14ac:dyDescent="0.35">
      <c r="A1235" t="s">
        <v>1876</v>
      </c>
      <c r="B1235" t="s">
        <v>1877</v>
      </c>
      <c r="C1235">
        <v>139041</v>
      </c>
      <c r="D1235">
        <v>764</v>
      </c>
      <c r="E1235">
        <v>19561</v>
      </c>
      <c r="F1235">
        <v>24</v>
      </c>
      <c r="G1235">
        <v>90</v>
      </c>
      <c r="H1235" t="b">
        <v>1</v>
      </c>
      <c r="I1235">
        <f t="shared" si="38"/>
        <v>1</v>
      </c>
      <c r="J1235" t="str">
        <f t="shared" si="39"/>
        <v>751-850 (Excellent)</v>
      </c>
      <c r="K1235" s="1"/>
    </row>
    <row r="1236" spans="1:11" x14ac:dyDescent="0.35">
      <c r="A1236" t="s">
        <v>2457</v>
      </c>
      <c r="B1236" t="s">
        <v>2458</v>
      </c>
      <c r="C1236">
        <v>40641</v>
      </c>
      <c r="D1236">
        <v>808</v>
      </c>
      <c r="E1236">
        <v>19520</v>
      </c>
      <c r="F1236">
        <v>8</v>
      </c>
      <c r="G1236">
        <v>60</v>
      </c>
      <c r="H1236" t="b">
        <v>1</v>
      </c>
      <c r="I1236">
        <f t="shared" si="38"/>
        <v>1</v>
      </c>
      <c r="J1236" t="str">
        <f t="shared" si="39"/>
        <v>751-850 (Excellent)</v>
      </c>
      <c r="K1236" s="1"/>
    </row>
    <row r="1237" spans="1:11" x14ac:dyDescent="0.35">
      <c r="A1237" t="s">
        <v>3671</v>
      </c>
      <c r="B1237" t="s">
        <v>3672</v>
      </c>
      <c r="C1237">
        <v>100807</v>
      </c>
      <c r="D1237">
        <v>453</v>
      </c>
      <c r="E1237">
        <v>19484</v>
      </c>
      <c r="F1237">
        <v>11</v>
      </c>
      <c r="G1237">
        <v>55</v>
      </c>
      <c r="H1237" t="b">
        <v>0</v>
      </c>
      <c r="I1237">
        <f t="shared" si="38"/>
        <v>0</v>
      </c>
      <c r="J1237" t="str">
        <f t="shared" si="39"/>
        <v>451-600 (Fair)</v>
      </c>
      <c r="K1237" s="1"/>
    </row>
    <row r="1238" spans="1:11" x14ac:dyDescent="0.35">
      <c r="A1238" t="s">
        <v>3006</v>
      </c>
      <c r="B1238" t="s">
        <v>3007</v>
      </c>
      <c r="C1238">
        <v>91537</v>
      </c>
      <c r="D1238">
        <v>842</v>
      </c>
      <c r="E1238">
        <v>19474</v>
      </c>
      <c r="F1238">
        <v>21</v>
      </c>
      <c r="G1238">
        <v>90</v>
      </c>
      <c r="H1238" t="b">
        <v>1</v>
      </c>
      <c r="I1238">
        <f t="shared" si="38"/>
        <v>1</v>
      </c>
      <c r="J1238" t="str">
        <f t="shared" si="39"/>
        <v>751-850 (Excellent)</v>
      </c>
      <c r="K1238" s="1"/>
    </row>
    <row r="1239" spans="1:11" x14ac:dyDescent="0.35">
      <c r="A1239" t="s">
        <v>3010</v>
      </c>
      <c r="B1239" t="s">
        <v>3011</v>
      </c>
      <c r="C1239">
        <v>64737</v>
      </c>
      <c r="D1239">
        <v>787</v>
      </c>
      <c r="E1239">
        <v>19384</v>
      </c>
      <c r="F1239">
        <v>35</v>
      </c>
      <c r="G1239">
        <v>75</v>
      </c>
      <c r="H1239" t="b">
        <v>1</v>
      </c>
      <c r="I1239">
        <f t="shared" si="38"/>
        <v>1</v>
      </c>
      <c r="J1239" t="str">
        <f t="shared" si="39"/>
        <v>751-850 (Excellent)</v>
      </c>
      <c r="K1239" s="1"/>
    </row>
    <row r="1240" spans="1:11" x14ac:dyDescent="0.35">
      <c r="A1240" t="s">
        <v>2375</v>
      </c>
      <c r="B1240" t="s">
        <v>2376</v>
      </c>
      <c r="C1240">
        <v>112502</v>
      </c>
      <c r="D1240">
        <v>797</v>
      </c>
      <c r="E1240">
        <v>19335</v>
      </c>
      <c r="F1240">
        <v>5</v>
      </c>
      <c r="G1240">
        <v>85</v>
      </c>
      <c r="H1240" t="b">
        <v>1</v>
      </c>
      <c r="I1240">
        <f t="shared" si="38"/>
        <v>1</v>
      </c>
      <c r="J1240" t="str">
        <f t="shared" si="39"/>
        <v>751-850 (Excellent)</v>
      </c>
      <c r="K1240" s="1"/>
    </row>
    <row r="1241" spans="1:11" x14ac:dyDescent="0.35">
      <c r="A1241" t="s">
        <v>1469</v>
      </c>
      <c r="B1241" t="s">
        <v>1470</v>
      </c>
      <c r="C1241">
        <v>126463</v>
      </c>
      <c r="D1241">
        <v>811</v>
      </c>
      <c r="E1241">
        <v>19252</v>
      </c>
      <c r="F1241">
        <v>37</v>
      </c>
      <c r="G1241">
        <v>95</v>
      </c>
      <c r="H1241" t="b">
        <v>1</v>
      </c>
      <c r="I1241">
        <f t="shared" si="38"/>
        <v>1</v>
      </c>
      <c r="J1241" t="str">
        <f t="shared" si="39"/>
        <v>751-850 (Excellent)</v>
      </c>
      <c r="K1241" s="1"/>
    </row>
    <row r="1242" spans="1:11" x14ac:dyDescent="0.35">
      <c r="A1242" t="s">
        <v>55</v>
      </c>
      <c r="B1242" t="s">
        <v>56</v>
      </c>
      <c r="C1242">
        <v>42280</v>
      </c>
      <c r="D1242">
        <v>543</v>
      </c>
      <c r="E1242">
        <v>19250</v>
      </c>
      <c r="F1242">
        <v>31</v>
      </c>
      <c r="G1242">
        <v>25</v>
      </c>
      <c r="H1242" t="b">
        <v>0</v>
      </c>
      <c r="I1242">
        <f t="shared" si="38"/>
        <v>0</v>
      </c>
      <c r="J1242" t="str">
        <f t="shared" si="39"/>
        <v>451-600 (Fair)</v>
      </c>
      <c r="K1242" s="1"/>
    </row>
    <row r="1243" spans="1:11" x14ac:dyDescent="0.35">
      <c r="A1243" t="s">
        <v>23</v>
      </c>
      <c r="B1243" t="s">
        <v>24</v>
      </c>
      <c r="C1243">
        <v>62098</v>
      </c>
      <c r="D1243">
        <v>689</v>
      </c>
      <c r="E1243">
        <v>19217</v>
      </c>
      <c r="F1243">
        <v>29</v>
      </c>
      <c r="G1243">
        <v>65</v>
      </c>
      <c r="H1243" t="b">
        <v>1</v>
      </c>
      <c r="I1243">
        <f t="shared" si="38"/>
        <v>1</v>
      </c>
      <c r="J1243" t="str">
        <f t="shared" si="39"/>
        <v>601-750 (Good)</v>
      </c>
      <c r="K1243" s="1"/>
    </row>
    <row r="1244" spans="1:11" x14ac:dyDescent="0.35">
      <c r="A1244" t="s">
        <v>608</v>
      </c>
      <c r="B1244" t="s">
        <v>609</v>
      </c>
      <c r="C1244">
        <v>112719</v>
      </c>
      <c r="D1244">
        <v>360</v>
      </c>
      <c r="E1244">
        <v>19174</v>
      </c>
      <c r="F1244">
        <v>8</v>
      </c>
      <c r="G1244">
        <v>50</v>
      </c>
      <c r="H1244" t="b">
        <v>0</v>
      </c>
      <c r="I1244">
        <f t="shared" si="38"/>
        <v>0</v>
      </c>
      <c r="J1244" t="str">
        <f t="shared" si="39"/>
        <v>300-450 (Poor)</v>
      </c>
      <c r="K1244" s="1"/>
    </row>
    <row r="1245" spans="1:11" x14ac:dyDescent="0.35">
      <c r="A1245" t="s">
        <v>165</v>
      </c>
      <c r="B1245" t="s">
        <v>166</v>
      </c>
      <c r="C1245">
        <v>77400</v>
      </c>
      <c r="D1245">
        <v>795</v>
      </c>
      <c r="E1245">
        <v>19120</v>
      </c>
      <c r="F1245">
        <v>37</v>
      </c>
      <c r="G1245">
        <v>85</v>
      </c>
      <c r="H1245" t="b">
        <v>1</v>
      </c>
      <c r="I1245">
        <f t="shared" si="38"/>
        <v>1</v>
      </c>
      <c r="J1245" t="str">
        <f t="shared" si="39"/>
        <v>751-850 (Excellent)</v>
      </c>
      <c r="K1245" s="1"/>
    </row>
    <row r="1246" spans="1:11" x14ac:dyDescent="0.35">
      <c r="A1246" t="s">
        <v>2396</v>
      </c>
      <c r="B1246" t="s">
        <v>2397</v>
      </c>
      <c r="C1246">
        <v>103147</v>
      </c>
      <c r="D1246">
        <v>381</v>
      </c>
      <c r="E1246">
        <v>19117</v>
      </c>
      <c r="F1246">
        <v>39</v>
      </c>
      <c r="G1246">
        <v>55</v>
      </c>
      <c r="H1246" t="b">
        <v>0</v>
      </c>
      <c r="I1246">
        <f t="shared" si="38"/>
        <v>0</v>
      </c>
      <c r="J1246" t="str">
        <f t="shared" si="39"/>
        <v>300-450 (Poor)</v>
      </c>
      <c r="K1246" s="1"/>
    </row>
    <row r="1247" spans="1:11" x14ac:dyDescent="0.35">
      <c r="A1247" t="s">
        <v>1344</v>
      </c>
      <c r="B1247" t="s">
        <v>1345</v>
      </c>
      <c r="C1247">
        <v>120027</v>
      </c>
      <c r="D1247">
        <v>513</v>
      </c>
      <c r="E1247">
        <v>19115</v>
      </c>
      <c r="F1247">
        <v>3</v>
      </c>
      <c r="G1247">
        <v>45</v>
      </c>
      <c r="H1247" t="b">
        <v>0</v>
      </c>
      <c r="I1247">
        <f t="shared" si="38"/>
        <v>0</v>
      </c>
      <c r="J1247" t="str">
        <f t="shared" si="39"/>
        <v>451-600 (Fair)</v>
      </c>
      <c r="K1247" s="1"/>
    </row>
    <row r="1248" spans="1:11" x14ac:dyDescent="0.35">
      <c r="A1248" t="s">
        <v>751</v>
      </c>
      <c r="B1248" t="s">
        <v>752</v>
      </c>
      <c r="C1248">
        <v>31934</v>
      </c>
      <c r="D1248">
        <v>633</v>
      </c>
      <c r="E1248">
        <v>19101</v>
      </c>
      <c r="F1248">
        <v>33</v>
      </c>
      <c r="G1248">
        <v>40</v>
      </c>
      <c r="H1248" t="b">
        <v>0</v>
      </c>
      <c r="I1248">
        <f t="shared" si="38"/>
        <v>0</v>
      </c>
      <c r="J1248" t="str">
        <f t="shared" si="39"/>
        <v>601-750 (Good)</v>
      </c>
      <c r="K1248" s="1"/>
    </row>
    <row r="1249" spans="1:11" x14ac:dyDescent="0.35">
      <c r="A1249" t="s">
        <v>2619</v>
      </c>
      <c r="B1249" t="s">
        <v>2620</v>
      </c>
      <c r="C1249">
        <v>137665</v>
      </c>
      <c r="D1249">
        <v>432</v>
      </c>
      <c r="E1249">
        <v>19007</v>
      </c>
      <c r="F1249">
        <v>17</v>
      </c>
      <c r="G1249">
        <v>55</v>
      </c>
      <c r="H1249" t="b">
        <v>0</v>
      </c>
      <c r="I1249">
        <f t="shared" si="38"/>
        <v>0</v>
      </c>
      <c r="J1249" t="str">
        <f t="shared" si="39"/>
        <v>300-450 (Poor)</v>
      </c>
      <c r="K1249" s="1"/>
    </row>
    <row r="1250" spans="1:11" x14ac:dyDescent="0.35">
      <c r="A1250" t="s">
        <v>2608</v>
      </c>
      <c r="B1250" t="s">
        <v>2609</v>
      </c>
      <c r="C1250">
        <v>142789</v>
      </c>
      <c r="D1250">
        <v>741</v>
      </c>
      <c r="E1250">
        <v>19002</v>
      </c>
      <c r="F1250">
        <v>22</v>
      </c>
      <c r="G1250">
        <v>90</v>
      </c>
      <c r="H1250" t="b">
        <v>1</v>
      </c>
      <c r="I1250">
        <f t="shared" si="38"/>
        <v>1</v>
      </c>
      <c r="J1250" t="str">
        <f t="shared" si="39"/>
        <v>601-750 (Good)</v>
      </c>
      <c r="K1250" s="1"/>
    </row>
    <row r="1251" spans="1:11" x14ac:dyDescent="0.35">
      <c r="A1251" t="s">
        <v>2707</v>
      </c>
      <c r="B1251" t="s">
        <v>2708</v>
      </c>
      <c r="C1251">
        <v>131259</v>
      </c>
      <c r="D1251">
        <v>767</v>
      </c>
      <c r="E1251">
        <v>18970</v>
      </c>
      <c r="F1251">
        <v>1</v>
      </c>
      <c r="G1251">
        <v>75</v>
      </c>
      <c r="H1251" t="b">
        <v>1</v>
      </c>
      <c r="I1251">
        <f t="shared" si="38"/>
        <v>1</v>
      </c>
      <c r="J1251" t="str">
        <f t="shared" si="39"/>
        <v>751-850 (Excellent)</v>
      </c>
      <c r="K1251" s="1"/>
    </row>
    <row r="1252" spans="1:11" x14ac:dyDescent="0.35">
      <c r="A1252" t="s">
        <v>1938</v>
      </c>
      <c r="B1252" t="s">
        <v>1939</v>
      </c>
      <c r="C1252">
        <v>90952</v>
      </c>
      <c r="D1252">
        <v>426</v>
      </c>
      <c r="E1252">
        <v>18920</v>
      </c>
      <c r="F1252">
        <v>36</v>
      </c>
      <c r="G1252">
        <v>50</v>
      </c>
      <c r="H1252" t="b">
        <v>0</v>
      </c>
      <c r="I1252">
        <f t="shared" si="38"/>
        <v>0</v>
      </c>
      <c r="J1252" t="str">
        <f t="shared" si="39"/>
        <v>300-450 (Poor)</v>
      </c>
      <c r="K1252" s="1"/>
    </row>
    <row r="1253" spans="1:11" x14ac:dyDescent="0.35">
      <c r="A1253" t="s">
        <v>1705</v>
      </c>
      <c r="B1253" t="s">
        <v>1706</v>
      </c>
      <c r="C1253">
        <v>58043</v>
      </c>
      <c r="D1253">
        <v>793</v>
      </c>
      <c r="E1253">
        <v>18911</v>
      </c>
      <c r="F1253">
        <v>38</v>
      </c>
      <c r="G1253">
        <v>75</v>
      </c>
      <c r="H1253" t="b">
        <v>1</v>
      </c>
      <c r="I1253">
        <f t="shared" si="38"/>
        <v>1</v>
      </c>
      <c r="J1253" t="str">
        <f t="shared" si="39"/>
        <v>751-850 (Excellent)</v>
      </c>
      <c r="K1253" s="1"/>
    </row>
    <row r="1254" spans="1:11" x14ac:dyDescent="0.35">
      <c r="A1254" t="s">
        <v>1982</v>
      </c>
      <c r="B1254" t="s">
        <v>1983</v>
      </c>
      <c r="C1254">
        <v>81990</v>
      </c>
      <c r="D1254">
        <v>641</v>
      </c>
      <c r="E1254">
        <v>18907</v>
      </c>
      <c r="F1254">
        <v>9</v>
      </c>
      <c r="G1254">
        <v>60</v>
      </c>
      <c r="H1254" t="b">
        <v>1</v>
      </c>
      <c r="I1254">
        <f t="shared" si="38"/>
        <v>1</v>
      </c>
      <c r="J1254" t="str">
        <f t="shared" si="39"/>
        <v>601-750 (Good)</v>
      </c>
      <c r="K1254" s="1"/>
    </row>
    <row r="1255" spans="1:11" x14ac:dyDescent="0.35">
      <c r="A1255" t="s">
        <v>285</v>
      </c>
      <c r="B1255" t="s">
        <v>286</v>
      </c>
      <c r="C1255">
        <v>149686</v>
      </c>
      <c r="D1255">
        <v>383</v>
      </c>
      <c r="E1255">
        <v>18832</v>
      </c>
      <c r="F1255">
        <v>28</v>
      </c>
      <c r="G1255">
        <v>55</v>
      </c>
      <c r="H1255" t="b">
        <v>0</v>
      </c>
      <c r="I1255">
        <f t="shared" si="38"/>
        <v>0</v>
      </c>
      <c r="J1255" t="str">
        <f t="shared" si="39"/>
        <v>300-450 (Poor)</v>
      </c>
      <c r="K1255" s="1"/>
    </row>
    <row r="1256" spans="1:11" x14ac:dyDescent="0.35">
      <c r="A1256" t="s">
        <v>1224</v>
      </c>
      <c r="B1256" t="s">
        <v>1225</v>
      </c>
      <c r="C1256">
        <v>91694</v>
      </c>
      <c r="D1256">
        <v>626</v>
      </c>
      <c r="E1256">
        <v>18763</v>
      </c>
      <c r="F1256">
        <v>9</v>
      </c>
      <c r="G1256">
        <v>60</v>
      </c>
      <c r="H1256" t="b">
        <v>1</v>
      </c>
      <c r="I1256">
        <f t="shared" si="38"/>
        <v>1</v>
      </c>
      <c r="J1256" t="str">
        <f t="shared" si="39"/>
        <v>601-750 (Good)</v>
      </c>
      <c r="K1256" s="1"/>
    </row>
    <row r="1257" spans="1:11" x14ac:dyDescent="0.35">
      <c r="A1257" t="s">
        <v>1290</v>
      </c>
      <c r="B1257" t="s">
        <v>1291</v>
      </c>
      <c r="C1257">
        <v>53405</v>
      </c>
      <c r="D1257">
        <v>643</v>
      </c>
      <c r="E1257">
        <v>18716</v>
      </c>
      <c r="F1257">
        <v>17</v>
      </c>
      <c r="G1257">
        <v>55</v>
      </c>
      <c r="H1257" t="b">
        <v>0</v>
      </c>
      <c r="I1257">
        <f t="shared" si="38"/>
        <v>0</v>
      </c>
      <c r="J1257" t="str">
        <f t="shared" si="39"/>
        <v>601-750 (Good)</v>
      </c>
      <c r="K1257" s="1"/>
    </row>
    <row r="1258" spans="1:11" x14ac:dyDescent="0.35">
      <c r="A1258" t="s">
        <v>1980</v>
      </c>
      <c r="B1258" t="s">
        <v>1981</v>
      </c>
      <c r="C1258">
        <v>79192</v>
      </c>
      <c r="D1258">
        <v>379</v>
      </c>
      <c r="E1258">
        <v>18702</v>
      </c>
      <c r="F1258">
        <v>7</v>
      </c>
      <c r="G1258">
        <v>45</v>
      </c>
      <c r="H1258" t="b">
        <v>0</v>
      </c>
      <c r="I1258">
        <f t="shared" si="38"/>
        <v>0</v>
      </c>
      <c r="J1258" t="str">
        <f t="shared" si="39"/>
        <v>300-450 (Poor)</v>
      </c>
      <c r="K1258" s="1"/>
    </row>
    <row r="1259" spans="1:11" x14ac:dyDescent="0.35">
      <c r="A1259" t="s">
        <v>1011</v>
      </c>
      <c r="B1259" t="s">
        <v>1012</v>
      </c>
      <c r="C1259">
        <v>45129</v>
      </c>
      <c r="D1259">
        <v>542</v>
      </c>
      <c r="E1259">
        <v>18655</v>
      </c>
      <c r="F1259">
        <v>30</v>
      </c>
      <c r="G1259">
        <v>25</v>
      </c>
      <c r="H1259" t="b">
        <v>0</v>
      </c>
      <c r="I1259">
        <f t="shared" si="38"/>
        <v>0</v>
      </c>
      <c r="J1259" t="str">
        <f t="shared" si="39"/>
        <v>451-600 (Fair)</v>
      </c>
      <c r="K1259" s="1"/>
    </row>
    <row r="1260" spans="1:11" x14ac:dyDescent="0.35">
      <c r="A1260" t="s">
        <v>2116</v>
      </c>
      <c r="B1260" t="s">
        <v>2117</v>
      </c>
      <c r="C1260">
        <v>128366</v>
      </c>
      <c r="D1260">
        <v>546</v>
      </c>
      <c r="E1260">
        <v>18640</v>
      </c>
      <c r="F1260">
        <v>5</v>
      </c>
      <c r="G1260">
        <v>50</v>
      </c>
      <c r="H1260" t="b">
        <v>0</v>
      </c>
      <c r="I1260">
        <f t="shared" si="38"/>
        <v>0</v>
      </c>
      <c r="J1260" t="str">
        <f t="shared" si="39"/>
        <v>451-600 (Fair)</v>
      </c>
      <c r="K1260" s="1"/>
    </row>
    <row r="1261" spans="1:11" x14ac:dyDescent="0.35">
      <c r="A1261" t="s">
        <v>759</v>
      </c>
      <c r="B1261" t="s">
        <v>760</v>
      </c>
      <c r="C1261">
        <v>60982</v>
      </c>
      <c r="D1261">
        <v>786</v>
      </c>
      <c r="E1261">
        <v>18601</v>
      </c>
      <c r="F1261">
        <v>23</v>
      </c>
      <c r="G1261">
        <v>75</v>
      </c>
      <c r="H1261" t="b">
        <v>1</v>
      </c>
      <c r="I1261">
        <f t="shared" si="38"/>
        <v>1</v>
      </c>
      <c r="J1261" t="str">
        <f t="shared" si="39"/>
        <v>751-850 (Excellent)</v>
      </c>
      <c r="K1261" s="1"/>
    </row>
    <row r="1262" spans="1:11" x14ac:dyDescent="0.35">
      <c r="A1262" t="s">
        <v>741</v>
      </c>
      <c r="B1262" t="s">
        <v>742</v>
      </c>
      <c r="C1262">
        <v>42833</v>
      </c>
      <c r="D1262">
        <v>531</v>
      </c>
      <c r="E1262">
        <v>18600</v>
      </c>
      <c r="F1262">
        <v>36</v>
      </c>
      <c r="G1262">
        <v>25</v>
      </c>
      <c r="H1262" t="b">
        <v>0</v>
      </c>
      <c r="I1262">
        <f t="shared" si="38"/>
        <v>0</v>
      </c>
      <c r="J1262" t="str">
        <f t="shared" si="39"/>
        <v>451-600 (Fair)</v>
      </c>
      <c r="K1262" s="1"/>
    </row>
    <row r="1263" spans="1:11" x14ac:dyDescent="0.35">
      <c r="A1263" t="s">
        <v>1507</v>
      </c>
      <c r="B1263" t="s">
        <v>1508</v>
      </c>
      <c r="C1263">
        <v>49313</v>
      </c>
      <c r="D1263">
        <v>778</v>
      </c>
      <c r="E1263">
        <v>18559</v>
      </c>
      <c r="F1263">
        <v>40</v>
      </c>
      <c r="G1263">
        <v>65</v>
      </c>
      <c r="H1263" t="b">
        <v>1</v>
      </c>
      <c r="I1263">
        <f t="shared" si="38"/>
        <v>1</v>
      </c>
      <c r="J1263" t="str">
        <f t="shared" si="39"/>
        <v>751-850 (Excellent)</v>
      </c>
      <c r="K1263" s="1"/>
    </row>
    <row r="1264" spans="1:11" x14ac:dyDescent="0.35">
      <c r="A1264" t="s">
        <v>598</v>
      </c>
      <c r="B1264" t="s">
        <v>599</v>
      </c>
      <c r="C1264">
        <v>107128</v>
      </c>
      <c r="D1264">
        <v>416</v>
      </c>
      <c r="E1264">
        <v>18556</v>
      </c>
      <c r="F1264">
        <v>34</v>
      </c>
      <c r="G1264">
        <v>55</v>
      </c>
      <c r="H1264" t="b">
        <v>0</v>
      </c>
      <c r="I1264">
        <f t="shared" si="38"/>
        <v>0</v>
      </c>
      <c r="J1264" t="str">
        <f t="shared" si="39"/>
        <v>300-450 (Poor)</v>
      </c>
      <c r="K1264" s="1"/>
    </row>
    <row r="1265" spans="1:11" x14ac:dyDescent="0.35">
      <c r="A1265" t="s">
        <v>3637</v>
      </c>
      <c r="B1265" t="s">
        <v>3638</v>
      </c>
      <c r="C1265">
        <v>102641</v>
      </c>
      <c r="D1265">
        <v>615</v>
      </c>
      <c r="E1265">
        <v>18483</v>
      </c>
      <c r="F1265">
        <v>26</v>
      </c>
      <c r="G1265">
        <v>70</v>
      </c>
      <c r="H1265" t="b">
        <v>1</v>
      </c>
      <c r="I1265">
        <f t="shared" si="38"/>
        <v>1</v>
      </c>
      <c r="J1265" t="str">
        <f t="shared" si="39"/>
        <v>601-750 (Good)</v>
      </c>
      <c r="K1265" s="1"/>
    </row>
    <row r="1266" spans="1:11" x14ac:dyDescent="0.35">
      <c r="A1266" t="s">
        <v>703</v>
      </c>
      <c r="B1266" t="s">
        <v>704</v>
      </c>
      <c r="C1266">
        <v>142941</v>
      </c>
      <c r="D1266">
        <v>546</v>
      </c>
      <c r="E1266">
        <v>18467</v>
      </c>
      <c r="F1266">
        <v>34</v>
      </c>
      <c r="G1266">
        <v>55</v>
      </c>
      <c r="H1266" t="b">
        <v>0</v>
      </c>
      <c r="I1266">
        <f t="shared" si="38"/>
        <v>0</v>
      </c>
      <c r="J1266" t="str">
        <f t="shared" si="39"/>
        <v>451-600 (Fair)</v>
      </c>
      <c r="K1266" s="1"/>
    </row>
    <row r="1267" spans="1:11" x14ac:dyDescent="0.35">
      <c r="A1267" t="s">
        <v>2281</v>
      </c>
      <c r="B1267" t="s">
        <v>2282</v>
      </c>
      <c r="C1267">
        <v>107278</v>
      </c>
      <c r="D1267">
        <v>479</v>
      </c>
      <c r="E1267">
        <v>18387</v>
      </c>
      <c r="F1267">
        <v>22</v>
      </c>
      <c r="G1267">
        <v>55</v>
      </c>
      <c r="H1267" t="b">
        <v>0</v>
      </c>
      <c r="I1267">
        <f t="shared" si="38"/>
        <v>0</v>
      </c>
      <c r="J1267" t="str">
        <f t="shared" si="39"/>
        <v>451-600 (Fair)</v>
      </c>
      <c r="K1267" s="1"/>
    </row>
    <row r="1268" spans="1:11" x14ac:dyDescent="0.35">
      <c r="A1268" t="s">
        <v>3649</v>
      </c>
      <c r="B1268" t="s">
        <v>3650</v>
      </c>
      <c r="C1268">
        <v>60539</v>
      </c>
      <c r="D1268">
        <v>345</v>
      </c>
      <c r="E1268">
        <v>18387</v>
      </c>
      <c r="F1268">
        <v>35</v>
      </c>
      <c r="G1268">
        <v>40</v>
      </c>
      <c r="H1268" t="b">
        <v>0</v>
      </c>
      <c r="I1268">
        <f t="shared" si="38"/>
        <v>0</v>
      </c>
      <c r="J1268" t="str">
        <f t="shared" si="39"/>
        <v>300-450 (Poor)</v>
      </c>
      <c r="K1268" s="1"/>
    </row>
    <row r="1269" spans="1:11" x14ac:dyDescent="0.35">
      <c r="A1269" t="s">
        <v>49</v>
      </c>
      <c r="B1269" t="s">
        <v>50</v>
      </c>
      <c r="C1269">
        <v>85302</v>
      </c>
      <c r="D1269">
        <v>469</v>
      </c>
      <c r="E1269">
        <v>18370</v>
      </c>
      <c r="F1269">
        <v>33</v>
      </c>
      <c r="G1269">
        <v>50</v>
      </c>
      <c r="H1269" t="b">
        <v>0</v>
      </c>
      <c r="I1269">
        <f t="shared" si="38"/>
        <v>0</v>
      </c>
      <c r="J1269" t="str">
        <f t="shared" si="39"/>
        <v>451-600 (Fair)</v>
      </c>
      <c r="K1269" s="1"/>
    </row>
    <row r="1270" spans="1:11" x14ac:dyDescent="0.35">
      <c r="A1270" t="s">
        <v>33</v>
      </c>
      <c r="B1270" t="s">
        <v>34</v>
      </c>
      <c r="C1270">
        <v>43434</v>
      </c>
      <c r="D1270">
        <v>446</v>
      </c>
      <c r="E1270">
        <v>18359</v>
      </c>
      <c r="F1270">
        <v>8</v>
      </c>
      <c r="G1270">
        <v>20</v>
      </c>
      <c r="H1270" t="b">
        <v>0</v>
      </c>
      <c r="I1270">
        <f t="shared" si="38"/>
        <v>0</v>
      </c>
      <c r="J1270" t="str">
        <f t="shared" si="39"/>
        <v>300-450 (Poor)</v>
      </c>
      <c r="K1270" s="1"/>
    </row>
    <row r="1271" spans="1:11" x14ac:dyDescent="0.35">
      <c r="A1271" t="s">
        <v>3810</v>
      </c>
      <c r="B1271" t="s">
        <v>3811</v>
      </c>
      <c r="C1271">
        <v>72622</v>
      </c>
      <c r="D1271">
        <v>677</v>
      </c>
      <c r="E1271">
        <v>18349</v>
      </c>
      <c r="F1271">
        <v>32</v>
      </c>
      <c r="G1271">
        <v>65</v>
      </c>
      <c r="H1271" t="b">
        <v>1</v>
      </c>
      <c r="I1271">
        <f t="shared" si="38"/>
        <v>1</v>
      </c>
      <c r="J1271" t="str">
        <f t="shared" si="39"/>
        <v>601-750 (Good)</v>
      </c>
      <c r="K1271" s="1"/>
    </row>
    <row r="1272" spans="1:11" x14ac:dyDescent="0.35">
      <c r="A1272" t="s">
        <v>2267</v>
      </c>
      <c r="B1272" t="s">
        <v>2268</v>
      </c>
      <c r="C1272">
        <v>54267</v>
      </c>
      <c r="D1272">
        <v>481</v>
      </c>
      <c r="E1272">
        <v>18290</v>
      </c>
      <c r="F1272">
        <v>4</v>
      </c>
      <c r="G1272">
        <v>30</v>
      </c>
      <c r="H1272" t="b">
        <v>0</v>
      </c>
      <c r="I1272">
        <f t="shared" si="38"/>
        <v>0</v>
      </c>
      <c r="J1272" t="str">
        <f t="shared" si="39"/>
        <v>451-600 (Fair)</v>
      </c>
      <c r="K1272" s="1"/>
    </row>
    <row r="1273" spans="1:11" x14ac:dyDescent="0.35">
      <c r="A1273" t="s">
        <v>2235</v>
      </c>
      <c r="B1273" t="s">
        <v>2236</v>
      </c>
      <c r="C1273">
        <v>73357</v>
      </c>
      <c r="D1273">
        <v>376</v>
      </c>
      <c r="E1273">
        <v>18283</v>
      </c>
      <c r="F1273">
        <v>21</v>
      </c>
      <c r="G1273">
        <v>45</v>
      </c>
      <c r="H1273" t="b">
        <v>0</v>
      </c>
      <c r="I1273">
        <f t="shared" si="38"/>
        <v>0</v>
      </c>
      <c r="J1273" t="str">
        <f t="shared" si="39"/>
        <v>300-450 (Poor)</v>
      </c>
      <c r="K1273" s="1"/>
    </row>
    <row r="1274" spans="1:11" x14ac:dyDescent="0.35">
      <c r="A1274" t="s">
        <v>2962</v>
      </c>
      <c r="B1274" t="s">
        <v>2963</v>
      </c>
      <c r="C1274">
        <v>94923</v>
      </c>
      <c r="D1274">
        <v>613</v>
      </c>
      <c r="E1274">
        <v>18243</v>
      </c>
      <c r="F1274">
        <v>28</v>
      </c>
      <c r="G1274">
        <v>65</v>
      </c>
      <c r="H1274" t="b">
        <v>1</v>
      </c>
      <c r="I1274">
        <f t="shared" si="38"/>
        <v>1</v>
      </c>
      <c r="J1274" t="str">
        <f t="shared" si="39"/>
        <v>601-750 (Good)</v>
      </c>
      <c r="K1274" s="1"/>
    </row>
    <row r="1275" spans="1:11" x14ac:dyDescent="0.35">
      <c r="A1275" t="s">
        <v>3520</v>
      </c>
      <c r="B1275" t="s">
        <v>3521</v>
      </c>
      <c r="C1275">
        <v>117881</v>
      </c>
      <c r="D1275">
        <v>846</v>
      </c>
      <c r="E1275">
        <v>18222</v>
      </c>
      <c r="F1275">
        <v>4</v>
      </c>
      <c r="G1275">
        <v>85</v>
      </c>
      <c r="H1275" t="b">
        <v>1</v>
      </c>
      <c r="I1275">
        <f t="shared" si="38"/>
        <v>1</v>
      </c>
      <c r="J1275" t="str">
        <f t="shared" si="39"/>
        <v>751-850 (Excellent)</v>
      </c>
      <c r="K1275" s="1"/>
    </row>
    <row r="1276" spans="1:11" x14ac:dyDescent="0.35">
      <c r="A1276" t="s">
        <v>374</v>
      </c>
      <c r="B1276" t="s">
        <v>375</v>
      </c>
      <c r="C1276">
        <v>80432</v>
      </c>
      <c r="D1276">
        <v>420</v>
      </c>
      <c r="E1276">
        <v>18155</v>
      </c>
      <c r="F1276">
        <v>16</v>
      </c>
      <c r="G1276">
        <v>50</v>
      </c>
      <c r="H1276" t="b">
        <v>0</v>
      </c>
      <c r="I1276">
        <f t="shared" si="38"/>
        <v>0</v>
      </c>
      <c r="J1276" t="str">
        <f t="shared" si="39"/>
        <v>300-450 (Poor)</v>
      </c>
      <c r="K1276" s="1"/>
    </row>
    <row r="1277" spans="1:11" x14ac:dyDescent="0.35">
      <c r="A1277" t="s">
        <v>458</v>
      </c>
      <c r="B1277" t="s">
        <v>459</v>
      </c>
      <c r="C1277">
        <v>109818</v>
      </c>
      <c r="D1277">
        <v>311</v>
      </c>
      <c r="E1277">
        <v>18141</v>
      </c>
      <c r="F1277">
        <v>23</v>
      </c>
      <c r="G1277">
        <v>55</v>
      </c>
      <c r="H1277" t="b">
        <v>0</v>
      </c>
      <c r="I1277">
        <f t="shared" si="38"/>
        <v>0</v>
      </c>
      <c r="J1277" t="str">
        <f t="shared" si="39"/>
        <v>300-450 (Poor)</v>
      </c>
      <c r="K1277" s="1"/>
    </row>
    <row r="1278" spans="1:11" x14ac:dyDescent="0.35">
      <c r="A1278" t="s">
        <v>2653</v>
      </c>
      <c r="B1278" t="s">
        <v>2654</v>
      </c>
      <c r="C1278">
        <v>94451</v>
      </c>
      <c r="D1278">
        <v>727</v>
      </c>
      <c r="E1278">
        <v>18041</v>
      </c>
      <c r="F1278">
        <v>34</v>
      </c>
      <c r="G1278">
        <v>75</v>
      </c>
      <c r="H1278" t="b">
        <v>1</v>
      </c>
      <c r="I1278">
        <f t="shared" si="38"/>
        <v>1</v>
      </c>
      <c r="J1278" t="str">
        <f t="shared" si="39"/>
        <v>601-750 (Good)</v>
      </c>
      <c r="K1278" s="1"/>
    </row>
    <row r="1279" spans="1:11" x14ac:dyDescent="0.35">
      <c r="A1279" t="s">
        <v>3734</v>
      </c>
      <c r="B1279" t="s">
        <v>3735</v>
      </c>
      <c r="C1279">
        <v>44293</v>
      </c>
      <c r="D1279">
        <v>708</v>
      </c>
      <c r="E1279">
        <v>18041</v>
      </c>
      <c r="F1279">
        <v>19</v>
      </c>
      <c r="G1279">
        <v>50</v>
      </c>
      <c r="H1279" t="b">
        <v>0</v>
      </c>
      <c r="I1279">
        <f t="shared" si="38"/>
        <v>0</v>
      </c>
      <c r="J1279" t="str">
        <f t="shared" si="39"/>
        <v>601-750 (Good)</v>
      </c>
      <c r="K1279" s="1"/>
    </row>
    <row r="1280" spans="1:11" x14ac:dyDescent="0.35">
      <c r="A1280" t="s">
        <v>2660</v>
      </c>
      <c r="B1280" t="s">
        <v>2661</v>
      </c>
      <c r="C1280">
        <v>83523</v>
      </c>
      <c r="D1280">
        <v>550</v>
      </c>
      <c r="E1280">
        <v>18039</v>
      </c>
      <c r="F1280">
        <v>21</v>
      </c>
      <c r="G1280">
        <v>50</v>
      </c>
      <c r="H1280" t="b">
        <v>0</v>
      </c>
      <c r="I1280">
        <f t="shared" si="38"/>
        <v>0</v>
      </c>
      <c r="J1280" t="str">
        <f t="shared" si="39"/>
        <v>451-600 (Fair)</v>
      </c>
      <c r="K1280" s="1"/>
    </row>
    <row r="1281" spans="1:11" x14ac:dyDescent="0.35">
      <c r="A1281" t="s">
        <v>123</v>
      </c>
      <c r="B1281" t="s">
        <v>124</v>
      </c>
      <c r="C1281">
        <v>42676</v>
      </c>
      <c r="D1281">
        <v>760</v>
      </c>
      <c r="E1281">
        <v>17986</v>
      </c>
      <c r="F1281">
        <v>15</v>
      </c>
      <c r="G1281">
        <v>60</v>
      </c>
      <c r="H1281" t="b">
        <v>1</v>
      </c>
      <c r="I1281">
        <f t="shared" si="38"/>
        <v>1</v>
      </c>
      <c r="J1281" t="str">
        <f t="shared" si="39"/>
        <v>751-850 (Excellent)</v>
      </c>
      <c r="K1281" s="1"/>
    </row>
    <row r="1282" spans="1:11" x14ac:dyDescent="0.35">
      <c r="A1282" t="s">
        <v>2052</v>
      </c>
      <c r="B1282" t="s">
        <v>2053</v>
      </c>
      <c r="C1282">
        <v>86822</v>
      </c>
      <c r="D1282">
        <v>837</v>
      </c>
      <c r="E1282">
        <v>17962</v>
      </c>
      <c r="F1282">
        <v>19</v>
      </c>
      <c r="G1282">
        <v>90</v>
      </c>
      <c r="H1282" t="b">
        <v>1</v>
      </c>
      <c r="I1282">
        <f t="shared" si="38"/>
        <v>1</v>
      </c>
      <c r="J1282" t="str">
        <f t="shared" si="39"/>
        <v>751-850 (Excellent)</v>
      </c>
      <c r="K1282" s="1"/>
    </row>
    <row r="1283" spans="1:11" x14ac:dyDescent="0.35">
      <c r="A1283" t="s">
        <v>1632</v>
      </c>
      <c r="B1283" t="s">
        <v>1633</v>
      </c>
      <c r="C1283">
        <v>88446</v>
      </c>
      <c r="D1283">
        <v>798</v>
      </c>
      <c r="E1283">
        <v>17896</v>
      </c>
      <c r="F1283">
        <v>21</v>
      </c>
      <c r="G1283">
        <v>85</v>
      </c>
      <c r="H1283" t="b">
        <v>1</v>
      </c>
      <c r="I1283">
        <f t="shared" si="38"/>
        <v>1</v>
      </c>
      <c r="J1283" t="str">
        <f t="shared" si="39"/>
        <v>751-850 (Excellent)</v>
      </c>
      <c r="K1283" s="1"/>
    </row>
    <row r="1284" spans="1:11" x14ac:dyDescent="0.35">
      <c r="A1284" t="s">
        <v>2868</v>
      </c>
      <c r="B1284" t="s">
        <v>2869</v>
      </c>
      <c r="C1284">
        <v>96550</v>
      </c>
      <c r="D1284">
        <v>836</v>
      </c>
      <c r="E1284">
        <v>17893</v>
      </c>
      <c r="F1284">
        <v>1</v>
      </c>
      <c r="G1284">
        <v>75</v>
      </c>
      <c r="H1284" t="b">
        <v>1</v>
      </c>
      <c r="I1284">
        <f t="shared" ref="I1284:I1347" si="40">--H1284</f>
        <v>1</v>
      </c>
      <c r="J1284" t="str">
        <f t="shared" ref="J1284:J1347" si="41">IF(D1284&gt;750, "751-850 (Excellent)", IF(D1284&gt;600, "601-750 (Good)", IF(D1284&gt;450, "451-600 (Fair)", "300-450 (Poor)")))</f>
        <v>751-850 (Excellent)</v>
      </c>
      <c r="K1284" s="1"/>
    </row>
    <row r="1285" spans="1:11" x14ac:dyDescent="0.35">
      <c r="A1285" t="s">
        <v>3238</v>
      </c>
      <c r="B1285" t="s">
        <v>3239</v>
      </c>
      <c r="C1285">
        <v>81879</v>
      </c>
      <c r="D1285">
        <v>607</v>
      </c>
      <c r="E1285">
        <v>17884</v>
      </c>
      <c r="F1285">
        <v>6</v>
      </c>
      <c r="G1285">
        <v>60</v>
      </c>
      <c r="H1285" t="b">
        <v>1</v>
      </c>
      <c r="I1285">
        <f t="shared" si="40"/>
        <v>1</v>
      </c>
      <c r="J1285" t="str">
        <f t="shared" si="41"/>
        <v>601-750 (Good)</v>
      </c>
      <c r="K1285" s="1"/>
    </row>
    <row r="1286" spans="1:11" x14ac:dyDescent="0.35">
      <c r="A1286" t="s">
        <v>2402</v>
      </c>
      <c r="B1286" t="s">
        <v>2403</v>
      </c>
      <c r="C1286">
        <v>109471</v>
      </c>
      <c r="D1286">
        <v>565</v>
      </c>
      <c r="E1286">
        <v>17871</v>
      </c>
      <c r="F1286">
        <v>1</v>
      </c>
      <c r="G1286">
        <v>40</v>
      </c>
      <c r="H1286" t="b">
        <v>0</v>
      </c>
      <c r="I1286">
        <f t="shared" si="40"/>
        <v>0</v>
      </c>
      <c r="J1286" t="str">
        <f t="shared" si="41"/>
        <v>451-600 (Fair)</v>
      </c>
      <c r="K1286" s="1"/>
    </row>
    <row r="1287" spans="1:11" x14ac:dyDescent="0.35">
      <c r="A1287" t="s">
        <v>510</v>
      </c>
      <c r="B1287" t="s">
        <v>511</v>
      </c>
      <c r="C1287">
        <v>41226</v>
      </c>
      <c r="D1287">
        <v>645</v>
      </c>
      <c r="E1287">
        <v>17864</v>
      </c>
      <c r="F1287">
        <v>31</v>
      </c>
      <c r="G1287">
        <v>40</v>
      </c>
      <c r="H1287" t="b">
        <v>0</v>
      </c>
      <c r="I1287">
        <f t="shared" si="40"/>
        <v>0</v>
      </c>
      <c r="J1287" t="str">
        <f t="shared" si="41"/>
        <v>601-750 (Good)</v>
      </c>
      <c r="K1287" s="1"/>
    </row>
    <row r="1288" spans="1:11" x14ac:dyDescent="0.35">
      <c r="A1288" t="s">
        <v>2927</v>
      </c>
      <c r="B1288" t="s">
        <v>2928</v>
      </c>
      <c r="C1288">
        <v>60613</v>
      </c>
      <c r="D1288">
        <v>697</v>
      </c>
      <c r="E1288">
        <v>17856</v>
      </c>
      <c r="F1288">
        <v>10</v>
      </c>
      <c r="G1288">
        <v>65</v>
      </c>
      <c r="H1288" t="b">
        <v>1</v>
      </c>
      <c r="I1288">
        <f t="shared" si="40"/>
        <v>1</v>
      </c>
      <c r="J1288" t="str">
        <f t="shared" si="41"/>
        <v>601-750 (Good)</v>
      </c>
      <c r="K1288" s="1"/>
    </row>
    <row r="1289" spans="1:11" x14ac:dyDescent="0.35">
      <c r="A1289" t="s">
        <v>724</v>
      </c>
      <c r="B1289" t="s">
        <v>725</v>
      </c>
      <c r="C1289">
        <v>90637</v>
      </c>
      <c r="D1289">
        <v>658</v>
      </c>
      <c r="E1289">
        <v>17820</v>
      </c>
      <c r="F1289">
        <v>6</v>
      </c>
      <c r="G1289">
        <v>60</v>
      </c>
      <c r="H1289" t="b">
        <v>1</v>
      </c>
      <c r="I1289">
        <f t="shared" si="40"/>
        <v>1</v>
      </c>
      <c r="J1289" t="str">
        <f t="shared" si="41"/>
        <v>601-750 (Good)</v>
      </c>
      <c r="K1289" s="1"/>
    </row>
    <row r="1290" spans="1:11" x14ac:dyDescent="0.35">
      <c r="A1290" t="s">
        <v>2804</v>
      </c>
      <c r="B1290" t="s">
        <v>2805</v>
      </c>
      <c r="C1290">
        <v>114896</v>
      </c>
      <c r="D1290">
        <v>690</v>
      </c>
      <c r="E1290">
        <v>17741</v>
      </c>
      <c r="F1290">
        <v>7</v>
      </c>
      <c r="G1290">
        <v>75</v>
      </c>
      <c r="H1290" t="b">
        <v>1</v>
      </c>
      <c r="I1290">
        <f t="shared" si="40"/>
        <v>1</v>
      </c>
      <c r="J1290" t="str">
        <f t="shared" si="41"/>
        <v>601-750 (Good)</v>
      </c>
      <c r="K1290" s="1"/>
    </row>
    <row r="1291" spans="1:11" x14ac:dyDescent="0.35">
      <c r="A1291" t="s">
        <v>3482</v>
      </c>
      <c r="B1291" t="s">
        <v>2292</v>
      </c>
      <c r="C1291">
        <v>90852</v>
      </c>
      <c r="D1291">
        <v>763</v>
      </c>
      <c r="E1291">
        <v>17727</v>
      </c>
      <c r="F1291">
        <v>37</v>
      </c>
      <c r="G1291">
        <v>85</v>
      </c>
      <c r="H1291" t="b">
        <v>1</v>
      </c>
      <c r="I1291">
        <f t="shared" si="40"/>
        <v>1</v>
      </c>
      <c r="J1291" t="str">
        <f t="shared" si="41"/>
        <v>751-850 (Excellent)</v>
      </c>
      <c r="K1291" s="1"/>
    </row>
    <row r="1292" spans="1:11" x14ac:dyDescent="0.35">
      <c r="A1292" t="s">
        <v>3336</v>
      </c>
      <c r="B1292" t="s">
        <v>3337</v>
      </c>
      <c r="C1292">
        <v>149226</v>
      </c>
      <c r="D1292">
        <v>730</v>
      </c>
      <c r="E1292">
        <v>17711</v>
      </c>
      <c r="F1292">
        <v>38</v>
      </c>
      <c r="G1292">
        <v>80</v>
      </c>
      <c r="H1292" t="b">
        <v>1</v>
      </c>
      <c r="I1292">
        <f t="shared" si="40"/>
        <v>1</v>
      </c>
      <c r="J1292" t="str">
        <f t="shared" si="41"/>
        <v>601-750 (Good)</v>
      </c>
      <c r="K1292" s="1"/>
    </row>
    <row r="1293" spans="1:11" x14ac:dyDescent="0.35">
      <c r="A1293" t="s">
        <v>3827</v>
      </c>
      <c r="B1293" t="s">
        <v>3828</v>
      </c>
      <c r="C1293">
        <v>133952</v>
      </c>
      <c r="D1293">
        <v>560</v>
      </c>
      <c r="E1293">
        <v>17671</v>
      </c>
      <c r="F1293">
        <v>23</v>
      </c>
      <c r="G1293">
        <v>55</v>
      </c>
      <c r="H1293" t="b">
        <v>0</v>
      </c>
      <c r="I1293">
        <f t="shared" si="40"/>
        <v>0</v>
      </c>
      <c r="J1293" t="str">
        <f t="shared" si="41"/>
        <v>451-600 (Fair)</v>
      </c>
      <c r="K1293" s="1"/>
    </row>
    <row r="1294" spans="1:11" x14ac:dyDescent="0.35">
      <c r="A1294" t="s">
        <v>3708</v>
      </c>
      <c r="B1294" t="s">
        <v>3709</v>
      </c>
      <c r="C1294">
        <v>36868</v>
      </c>
      <c r="D1294">
        <v>750</v>
      </c>
      <c r="E1294">
        <v>17660</v>
      </c>
      <c r="F1294">
        <v>27</v>
      </c>
      <c r="G1294">
        <v>60</v>
      </c>
      <c r="H1294" t="b">
        <v>1</v>
      </c>
      <c r="I1294">
        <f t="shared" si="40"/>
        <v>1</v>
      </c>
      <c r="J1294" t="str">
        <f t="shared" si="41"/>
        <v>601-750 (Good)</v>
      </c>
      <c r="K1294" s="1"/>
    </row>
    <row r="1295" spans="1:11" x14ac:dyDescent="0.35">
      <c r="A1295" t="s">
        <v>351</v>
      </c>
      <c r="B1295" t="s">
        <v>352</v>
      </c>
      <c r="C1295">
        <v>129061</v>
      </c>
      <c r="D1295">
        <v>682</v>
      </c>
      <c r="E1295">
        <v>17623</v>
      </c>
      <c r="F1295">
        <v>1</v>
      </c>
      <c r="G1295">
        <v>65</v>
      </c>
      <c r="H1295" t="b">
        <v>1</v>
      </c>
      <c r="I1295">
        <f t="shared" si="40"/>
        <v>1</v>
      </c>
      <c r="J1295" t="str">
        <f t="shared" si="41"/>
        <v>601-750 (Good)</v>
      </c>
      <c r="K1295" s="1"/>
    </row>
    <row r="1296" spans="1:11" x14ac:dyDescent="0.35">
      <c r="A1296" t="s">
        <v>2901</v>
      </c>
      <c r="B1296" t="s">
        <v>2902</v>
      </c>
      <c r="C1296">
        <v>75236</v>
      </c>
      <c r="D1296">
        <v>799</v>
      </c>
      <c r="E1296">
        <v>17608</v>
      </c>
      <c r="F1296">
        <v>38</v>
      </c>
      <c r="G1296">
        <v>85</v>
      </c>
      <c r="H1296" t="b">
        <v>1</v>
      </c>
      <c r="I1296">
        <f t="shared" si="40"/>
        <v>1</v>
      </c>
      <c r="J1296" t="str">
        <f t="shared" si="41"/>
        <v>751-850 (Excellent)</v>
      </c>
      <c r="K1296" s="1"/>
    </row>
    <row r="1297" spans="1:11" x14ac:dyDescent="0.35">
      <c r="A1297" t="s">
        <v>3108</v>
      </c>
      <c r="B1297" t="s">
        <v>3109</v>
      </c>
      <c r="C1297">
        <v>79131</v>
      </c>
      <c r="D1297">
        <v>349</v>
      </c>
      <c r="E1297">
        <v>17593</v>
      </c>
      <c r="F1297">
        <v>37</v>
      </c>
      <c r="G1297">
        <v>50</v>
      </c>
      <c r="H1297" t="b">
        <v>0</v>
      </c>
      <c r="I1297">
        <f t="shared" si="40"/>
        <v>0</v>
      </c>
      <c r="J1297" t="str">
        <f t="shared" si="41"/>
        <v>300-450 (Poor)</v>
      </c>
      <c r="K1297" s="1"/>
    </row>
    <row r="1298" spans="1:11" x14ac:dyDescent="0.35">
      <c r="A1298" t="s">
        <v>1531</v>
      </c>
      <c r="B1298" t="s">
        <v>1532</v>
      </c>
      <c r="C1298">
        <v>112544</v>
      </c>
      <c r="D1298">
        <v>545</v>
      </c>
      <c r="E1298">
        <v>17579</v>
      </c>
      <c r="F1298">
        <v>35</v>
      </c>
      <c r="G1298">
        <v>55</v>
      </c>
      <c r="H1298" t="b">
        <v>0</v>
      </c>
      <c r="I1298">
        <f t="shared" si="40"/>
        <v>0</v>
      </c>
      <c r="J1298" t="str">
        <f t="shared" si="41"/>
        <v>451-600 (Fair)</v>
      </c>
      <c r="K1298" s="1"/>
    </row>
    <row r="1299" spans="1:11" x14ac:dyDescent="0.35">
      <c r="A1299" t="s">
        <v>3713</v>
      </c>
      <c r="B1299" t="s">
        <v>3714</v>
      </c>
      <c r="C1299">
        <v>85176</v>
      </c>
      <c r="D1299">
        <v>427</v>
      </c>
      <c r="E1299">
        <v>17535</v>
      </c>
      <c r="F1299">
        <v>2</v>
      </c>
      <c r="G1299">
        <v>40</v>
      </c>
      <c r="H1299" t="b">
        <v>0</v>
      </c>
      <c r="I1299">
        <f t="shared" si="40"/>
        <v>0</v>
      </c>
      <c r="J1299" t="str">
        <f t="shared" si="41"/>
        <v>300-450 (Poor)</v>
      </c>
      <c r="K1299" s="1"/>
    </row>
    <row r="1300" spans="1:11" x14ac:dyDescent="0.35">
      <c r="A1300" t="s">
        <v>1851</v>
      </c>
      <c r="B1300" t="s">
        <v>1852</v>
      </c>
      <c r="C1300">
        <v>36590</v>
      </c>
      <c r="D1300">
        <v>475</v>
      </c>
      <c r="E1300">
        <v>17511</v>
      </c>
      <c r="F1300">
        <v>6</v>
      </c>
      <c r="G1300">
        <v>20</v>
      </c>
      <c r="H1300" t="b">
        <v>0</v>
      </c>
      <c r="I1300">
        <f t="shared" si="40"/>
        <v>0</v>
      </c>
      <c r="J1300" t="str">
        <f t="shared" si="41"/>
        <v>451-600 (Fair)</v>
      </c>
      <c r="K1300" s="1"/>
    </row>
    <row r="1301" spans="1:11" x14ac:dyDescent="0.35">
      <c r="A1301" t="s">
        <v>942</v>
      </c>
      <c r="B1301" t="s">
        <v>943</v>
      </c>
      <c r="C1301">
        <v>103792</v>
      </c>
      <c r="D1301">
        <v>829</v>
      </c>
      <c r="E1301">
        <v>17487</v>
      </c>
      <c r="F1301">
        <v>24</v>
      </c>
      <c r="G1301">
        <v>95</v>
      </c>
      <c r="H1301" t="b">
        <v>1</v>
      </c>
      <c r="I1301">
        <f t="shared" si="40"/>
        <v>1</v>
      </c>
      <c r="J1301" t="str">
        <f t="shared" si="41"/>
        <v>751-850 (Excellent)</v>
      </c>
      <c r="K1301" s="1"/>
    </row>
    <row r="1302" spans="1:11" x14ac:dyDescent="0.35">
      <c r="A1302" t="s">
        <v>163</v>
      </c>
      <c r="B1302" t="s">
        <v>164</v>
      </c>
      <c r="C1302">
        <v>142945</v>
      </c>
      <c r="D1302">
        <v>613</v>
      </c>
      <c r="E1302">
        <v>17475</v>
      </c>
      <c r="F1302">
        <v>14</v>
      </c>
      <c r="G1302">
        <v>70</v>
      </c>
      <c r="H1302" t="b">
        <v>1</v>
      </c>
      <c r="I1302">
        <f t="shared" si="40"/>
        <v>1</v>
      </c>
      <c r="J1302" t="str">
        <f t="shared" si="41"/>
        <v>601-750 (Good)</v>
      </c>
      <c r="K1302" s="1"/>
    </row>
    <row r="1303" spans="1:11" x14ac:dyDescent="0.35">
      <c r="A1303" t="s">
        <v>3270</v>
      </c>
      <c r="B1303" t="s">
        <v>3271</v>
      </c>
      <c r="C1303">
        <v>131677</v>
      </c>
      <c r="D1303">
        <v>468</v>
      </c>
      <c r="E1303">
        <v>17423</v>
      </c>
      <c r="F1303">
        <v>26</v>
      </c>
      <c r="G1303">
        <v>55</v>
      </c>
      <c r="H1303" t="b">
        <v>0</v>
      </c>
      <c r="I1303">
        <f t="shared" si="40"/>
        <v>0</v>
      </c>
      <c r="J1303" t="str">
        <f t="shared" si="41"/>
        <v>451-600 (Fair)</v>
      </c>
      <c r="K1303" s="1"/>
    </row>
    <row r="1304" spans="1:11" x14ac:dyDescent="0.35">
      <c r="A1304" t="s">
        <v>767</v>
      </c>
      <c r="B1304" t="s">
        <v>768</v>
      </c>
      <c r="C1304">
        <v>93092</v>
      </c>
      <c r="D1304">
        <v>359</v>
      </c>
      <c r="E1304">
        <v>17350</v>
      </c>
      <c r="F1304">
        <v>2</v>
      </c>
      <c r="G1304">
        <v>40</v>
      </c>
      <c r="H1304" t="b">
        <v>0</v>
      </c>
      <c r="I1304">
        <f t="shared" si="40"/>
        <v>0</v>
      </c>
      <c r="J1304" t="str">
        <f t="shared" si="41"/>
        <v>300-450 (Poor)</v>
      </c>
      <c r="K1304" s="1"/>
    </row>
    <row r="1305" spans="1:11" x14ac:dyDescent="0.35">
      <c r="A1305" t="s">
        <v>697</v>
      </c>
      <c r="B1305" t="s">
        <v>698</v>
      </c>
      <c r="C1305">
        <v>125448</v>
      </c>
      <c r="D1305">
        <v>838</v>
      </c>
      <c r="E1305">
        <v>17328</v>
      </c>
      <c r="F1305">
        <v>40</v>
      </c>
      <c r="G1305">
        <v>95</v>
      </c>
      <c r="H1305" t="b">
        <v>1</v>
      </c>
      <c r="I1305">
        <f t="shared" si="40"/>
        <v>1</v>
      </c>
      <c r="J1305" t="str">
        <f t="shared" si="41"/>
        <v>751-850 (Excellent)</v>
      </c>
      <c r="K1305" s="1"/>
    </row>
    <row r="1306" spans="1:11" x14ac:dyDescent="0.35">
      <c r="A1306" t="s">
        <v>3427</v>
      </c>
      <c r="B1306" t="s">
        <v>1900</v>
      </c>
      <c r="C1306">
        <v>64663</v>
      </c>
      <c r="D1306">
        <v>810</v>
      </c>
      <c r="E1306">
        <v>17319</v>
      </c>
      <c r="F1306">
        <v>33</v>
      </c>
      <c r="G1306">
        <v>80</v>
      </c>
      <c r="H1306" t="b">
        <v>1</v>
      </c>
      <c r="I1306">
        <f t="shared" si="40"/>
        <v>1</v>
      </c>
      <c r="J1306" t="str">
        <f t="shared" si="41"/>
        <v>751-850 (Excellent)</v>
      </c>
      <c r="K1306" s="1"/>
    </row>
    <row r="1307" spans="1:11" x14ac:dyDescent="0.35">
      <c r="A1307" t="s">
        <v>3667</v>
      </c>
      <c r="B1307" t="s">
        <v>3668</v>
      </c>
      <c r="C1307">
        <v>48964</v>
      </c>
      <c r="D1307">
        <v>748</v>
      </c>
      <c r="E1307">
        <v>17297</v>
      </c>
      <c r="F1307">
        <v>12</v>
      </c>
      <c r="G1307">
        <v>65</v>
      </c>
      <c r="H1307" t="b">
        <v>1</v>
      </c>
      <c r="I1307">
        <f t="shared" si="40"/>
        <v>1</v>
      </c>
      <c r="J1307" t="str">
        <f t="shared" si="41"/>
        <v>601-750 (Good)</v>
      </c>
      <c r="K1307" s="1"/>
    </row>
    <row r="1308" spans="1:11" x14ac:dyDescent="0.35">
      <c r="A1308" t="s">
        <v>1595</v>
      </c>
      <c r="B1308" t="s">
        <v>1596</v>
      </c>
      <c r="C1308">
        <v>135043</v>
      </c>
      <c r="D1308">
        <v>607</v>
      </c>
      <c r="E1308">
        <v>17295</v>
      </c>
      <c r="F1308">
        <v>33</v>
      </c>
      <c r="G1308">
        <v>70</v>
      </c>
      <c r="H1308" t="b">
        <v>1</v>
      </c>
      <c r="I1308">
        <f t="shared" si="40"/>
        <v>1</v>
      </c>
      <c r="J1308" t="str">
        <f t="shared" si="41"/>
        <v>601-750 (Good)</v>
      </c>
      <c r="K1308" s="1"/>
    </row>
    <row r="1309" spans="1:11" x14ac:dyDescent="0.35">
      <c r="A1309" t="s">
        <v>635</v>
      </c>
      <c r="B1309" t="s">
        <v>636</v>
      </c>
      <c r="C1309">
        <v>58080</v>
      </c>
      <c r="D1309">
        <v>386</v>
      </c>
      <c r="E1309">
        <v>17263</v>
      </c>
      <c r="F1309">
        <v>35</v>
      </c>
      <c r="G1309">
        <v>40</v>
      </c>
      <c r="H1309" t="b">
        <v>0</v>
      </c>
      <c r="I1309">
        <f t="shared" si="40"/>
        <v>0</v>
      </c>
      <c r="J1309" t="str">
        <f t="shared" si="41"/>
        <v>300-450 (Poor)</v>
      </c>
      <c r="K1309" s="1"/>
    </row>
    <row r="1310" spans="1:11" x14ac:dyDescent="0.35">
      <c r="A1310" t="s">
        <v>2680</v>
      </c>
      <c r="B1310" t="s">
        <v>2681</v>
      </c>
      <c r="C1310">
        <v>94942</v>
      </c>
      <c r="D1310">
        <v>835</v>
      </c>
      <c r="E1310">
        <v>17251</v>
      </c>
      <c r="F1310">
        <v>15</v>
      </c>
      <c r="G1310">
        <v>90</v>
      </c>
      <c r="H1310" t="b">
        <v>1</v>
      </c>
      <c r="I1310">
        <f t="shared" si="40"/>
        <v>1</v>
      </c>
      <c r="J1310" t="str">
        <f t="shared" si="41"/>
        <v>751-850 (Excellent)</v>
      </c>
      <c r="K1310" s="1"/>
    </row>
    <row r="1311" spans="1:11" x14ac:dyDescent="0.35">
      <c r="A1311" t="s">
        <v>1888</v>
      </c>
      <c r="B1311" t="s">
        <v>1889</v>
      </c>
      <c r="C1311">
        <v>32540</v>
      </c>
      <c r="D1311">
        <v>560</v>
      </c>
      <c r="E1311">
        <v>17214</v>
      </c>
      <c r="F1311">
        <v>38</v>
      </c>
      <c r="G1311">
        <v>25</v>
      </c>
      <c r="H1311" t="b">
        <v>0</v>
      </c>
      <c r="I1311">
        <f t="shared" si="40"/>
        <v>0</v>
      </c>
      <c r="J1311" t="str">
        <f t="shared" si="41"/>
        <v>451-600 (Fair)</v>
      </c>
      <c r="K1311" s="1"/>
    </row>
    <row r="1312" spans="1:11" x14ac:dyDescent="0.35">
      <c r="A1312" t="s">
        <v>1737</v>
      </c>
      <c r="B1312" t="s">
        <v>1738</v>
      </c>
      <c r="C1312">
        <v>121163</v>
      </c>
      <c r="D1312">
        <v>556</v>
      </c>
      <c r="E1312">
        <v>17197</v>
      </c>
      <c r="F1312">
        <v>6</v>
      </c>
      <c r="G1312">
        <v>50</v>
      </c>
      <c r="H1312" t="b">
        <v>0</v>
      </c>
      <c r="I1312">
        <f t="shared" si="40"/>
        <v>0</v>
      </c>
      <c r="J1312" t="str">
        <f t="shared" si="41"/>
        <v>451-600 (Fair)</v>
      </c>
      <c r="K1312" s="1"/>
    </row>
    <row r="1313" spans="1:11" x14ac:dyDescent="0.35">
      <c r="A1313" t="s">
        <v>3639</v>
      </c>
      <c r="B1313" t="s">
        <v>3640</v>
      </c>
      <c r="C1313">
        <v>57152</v>
      </c>
      <c r="D1313">
        <v>596</v>
      </c>
      <c r="E1313">
        <v>17196</v>
      </c>
      <c r="F1313">
        <v>1</v>
      </c>
      <c r="G1313">
        <v>40</v>
      </c>
      <c r="H1313" t="b">
        <v>0</v>
      </c>
      <c r="I1313">
        <f t="shared" si="40"/>
        <v>0</v>
      </c>
      <c r="J1313" t="str">
        <f t="shared" si="41"/>
        <v>451-600 (Fair)</v>
      </c>
      <c r="K1313" s="1"/>
    </row>
    <row r="1314" spans="1:11" x14ac:dyDescent="0.35">
      <c r="A1314" t="s">
        <v>3132</v>
      </c>
      <c r="B1314" t="s">
        <v>3133</v>
      </c>
      <c r="C1314">
        <v>40350</v>
      </c>
      <c r="D1314">
        <v>468</v>
      </c>
      <c r="E1314">
        <v>17191</v>
      </c>
      <c r="F1314">
        <v>40</v>
      </c>
      <c r="G1314">
        <v>25</v>
      </c>
      <c r="H1314" t="b">
        <v>0</v>
      </c>
      <c r="I1314">
        <f t="shared" si="40"/>
        <v>0</v>
      </c>
      <c r="J1314" t="str">
        <f t="shared" si="41"/>
        <v>451-600 (Fair)</v>
      </c>
      <c r="K1314" s="1"/>
    </row>
    <row r="1315" spans="1:11" x14ac:dyDescent="0.35">
      <c r="A1315" t="s">
        <v>2033</v>
      </c>
      <c r="B1315" t="s">
        <v>2034</v>
      </c>
      <c r="C1315">
        <v>39038</v>
      </c>
      <c r="D1315">
        <v>728</v>
      </c>
      <c r="E1315">
        <v>17185</v>
      </c>
      <c r="F1315">
        <v>20</v>
      </c>
      <c r="G1315">
        <v>50</v>
      </c>
      <c r="H1315" t="b">
        <v>0</v>
      </c>
      <c r="I1315">
        <f t="shared" si="40"/>
        <v>0</v>
      </c>
      <c r="J1315" t="str">
        <f t="shared" si="41"/>
        <v>601-750 (Good)</v>
      </c>
      <c r="K1315" s="1"/>
    </row>
    <row r="1316" spans="1:11" x14ac:dyDescent="0.35">
      <c r="A1316" t="s">
        <v>3820</v>
      </c>
      <c r="B1316" t="s">
        <v>3821</v>
      </c>
      <c r="C1316">
        <v>96263</v>
      </c>
      <c r="D1316">
        <v>696</v>
      </c>
      <c r="E1316">
        <v>17183</v>
      </c>
      <c r="F1316">
        <v>2</v>
      </c>
      <c r="G1316">
        <v>65</v>
      </c>
      <c r="H1316" t="b">
        <v>1</v>
      </c>
      <c r="I1316">
        <f t="shared" si="40"/>
        <v>1</v>
      </c>
      <c r="J1316" t="str">
        <f t="shared" si="41"/>
        <v>601-750 (Good)</v>
      </c>
      <c r="K1316" s="1"/>
    </row>
    <row r="1317" spans="1:11" x14ac:dyDescent="0.35">
      <c r="A1317" t="s">
        <v>1700</v>
      </c>
      <c r="B1317" t="s">
        <v>499</v>
      </c>
      <c r="C1317">
        <v>120957</v>
      </c>
      <c r="D1317">
        <v>403</v>
      </c>
      <c r="E1317">
        <v>17142</v>
      </c>
      <c r="F1317">
        <v>35</v>
      </c>
      <c r="G1317">
        <v>55</v>
      </c>
      <c r="H1317" t="b">
        <v>0</v>
      </c>
      <c r="I1317">
        <f t="shared" si="40"/>
        <v>0</v>
      </c>
      <c r="J1317" t="str">
        <f t="shared" si="41"/>
        <v>300-450 (Poor)</v>
      </c>
      <c r="K1317" s="1"/>
    </row>
    <row r="1318" spans="1:11" x14ac:dyDescent="0.35">
      <c r="A1318" t="s">
        <v>3170</v>
      </c>
      <c r="B1318" t="s">
        <v>3171</v>
      </c>
      <c r="C1318">
        <v>147821</v>
      </c>
      <c r="D1318">
        <v>397</v>
      </c>
      <c r="E1318">
        <v>17134</v>
      </c>
      <c r="F1318">
        <v>26</v>
      </c>
      <c r="G1318">
        <v>55</v>
      </c>
      <c r="H1318" t="b">
        <v>0</v>
      </c>
      <c r="I1318">
        <f t="shared" si="40"/>
        <v>0</v>
      </c>
      <c r="J1318" t="str">
        <f t="shared" si="41"/>
        <v>300-450 (Poor)</v>
      </c>
      <c r="K1318" s="1"/>
    </row>
    <row r="1319" spans="1:11" x14ac:dyDescent="0.35">
      <c r="A1319" t="s">
        <v>1711</v>
      </c>
      <c r="B1319" t="s">
        <v>1712</v>
      </c>
      <c r="C1319">
        <v>83424</v>
      </c>
      <c r="D1319">
        <v>579</v>
      </c>
      <c r="E1319">
        <v>17117</v>
      </c>
      <c r="F1319">
        <v>20</v>
      </c>
      <c r="G1319">
        <v>50</v>
      </c>
      <c r="H1319" t="b">
        <v>0</v>
      </c>
      <c r="I1319">
        <f t="shared" si="40"/>
        <v>0</v>
      </c>
      <c r="J1319" t="str">
        <f t="shared" si="41"/>
        <v>451-600 (Fair)</v>
      </c>
      <c r="K1319" s="1"/>
    </row>
    <row r="1320" spans="1:11" x14ac:dyDescent="0.35">
      <c r="A1320" t="s">
        <v>3200</v>
      </c>
      <c r="B1320" t="s">
        <v>3201</v>
      </c>
      <c r="C1320">
        <v>62780</v>
      </c>
      <c r="D1320">
        <v>773</v>
      </c>
      <c r="E1320">
        <v>17108</v>
      </c>
      <c r="F1320">
        <v>29</v>
      </c>
      <c r="G1320">
        <v>75</v>
      </c>
      <c r="H1320" t="b">
        <v>1</v>
      </c>
      <c r="I1320">
        <f t="shared" si="40"/>
        <v>1</v>
      </c>
      <c r="J1320" t="str">
        <f t="shared" si="41"/>
        <v>751-850 (Excellent)</v>
      </c>
      <c r="K1320" s="1"/>
    </row>
    <row r="1321" spans="1:11" x14ac:dyDescent="0.35">
      <c r="A1321" t="s">
        <v>1160</v>
      </c>
      <c r="B1321" t="s">
        <v>1161</v>
      </c>
      <c r="C1321">
        <v>83264</v>
      </c>
      <c r="D1321">
        <v>343</v>
      </c>
      <c r="E1321">
        <v>17103</v>
      </c>
      <c r="F1321">
        <v>33</v>
      </c>
      <c r="G1321">
        <v>50</v>
      </c>
      <c r="H1321" t="b">
        <v>0</v>
      </c>
      <c r="I1321">
        <f t="shared" si="40"/>
        <v>0</v>
      </c>
      <c r="J1321" t="str">
        <f t="shared" si="41"/>
        <v>300-450 (Poor)</v>
      </c>
      <c r="K1321" s="1"/>
    </row>
    <row r="1322" spans="1:11" x14ac:dyDescent="0.35">
      <c r="A1322" t="s">
        <v>3103</v>
      </c>
      <c r="B1322" t="s">
        <v>3104</v>
      </c>
      <c r="C1322">
        <v>37355</v>
      </c>
      <c r="D1322">
        <v>384</v>
      </c>
      <c r="E1322">
        <v>17081</v>
      </c>
      <c r="F1322">
        <v>40</v>
      </c>
      <c r="G1322">
        <v>25</v>
      </c>
      <c r="H1322" t="b">
        <v>0</v>
      </c>
      <c r="I1322">
        <f t="shared" si="40"/>
        <v>0</v>
      </c>
      <c r="J1322" t="str">
        <f t="shared" si="41"/>
        <v>300-450 (Poor)</v>
      </c>
      <c r="K1322" s="1"/>
    </row>
    <row r="1323" spans="1:11" x14ac:dyDescent="0.35">
      <c r="A1323" t="s">
        <v>2840</v>
      </c>
      <c r="B1323" t="s">
        <v>2841</v>
      </c>
      <c r="C1323">
        <v>54983</v>
      </c>
      <c r="D1323">
        <v>524</v>
      </c>
      <c r="E1323">
        <v>17079</v>
      </c>
      <c r="F1323">
        <v>14</v>
      </c>
      <c r="G1323">
        <v>40</v>
      </c>
      <c r="H1323" t="b">
        <v>0</v>
      </c>
      <c r="I1323">
        <f t="shared" si="40"/>
        <v>0</v>
      </c>
      <c r="J1323" t="str">
        <f t="shared" si="41"/>
        <v>451-600 (Fair)</v>
      </c>
      <c r="K1323" s="1"/>
    </row>
    <row r="1324" spans="1:11" x14ac:dyDescent="0.35">
      <c r="A1324" t="s">
        <v>3365</v>
      </c>
      <c r="B1324" t="s">
        <v>3366</v>
      </c>
      <c r="C1324">
        <v>65720</v>
      </c>
      <c r="D1324">
        <v>500</v>
      </c>
      <c r="E1324">
        <v>17048</v>
      </c>
      <c r="F1324">
        <v>20</v>
      </c>
      <c r="G1324">
        <v>40</v>
      </c>
      <c r="H1324" t="b">
        <v>0</v>
      </c>
      <c r="I1324">
        <f t="shared" si="40"/>
        <v>0</v>
      </c>
      <c r="J1324" t="str">
        <f t="shared" si="41"/>
        <v>451-600 (Fair)</v>
      </c>
      <c r="K1324" s="1"/>
    </row>
    <row r="1325" spans="1:11" x14ac:dyDescent="0.35">
      <c r="A1325" t="s">
        <v>649</v>
      </c>
      <c r="B1325" t="s">
        <v>650</v>
      </c>
      <c r="C1325">
        <v>91953</v>
      </c>
      <c r="D1325">
        <v>359</v>
      </c>
      <c r="E1325">
        <v>17022</v>
      </c>
      <c r="F1325">
        <v>5</v>
      </c>
      <c r="G1325">
        <v>45</v>
      </c>
      <c r="H1325" t="b">
        <v>0</v>
      </c>
      <c r="I1325">
        <f t="shared" si="40"/>
        <v>0</v>
      </c>
      <c r="J1325" t="str">
        <f t="shared" si="41"/>
        <v>300-450 (Poor)</v>
      </c>
      <c r="K1325" s="1"/>
    </row>
    <row r="1326" spans="1:11" x14ac:dyDescent="0.35">
      <c r="A1326" t="s">
        <v>3456</v>
      </c>
      <c r="B1326" t="s">
        <v>3457</v>
      </c>
      <c r="C1326">
        <v>118452</v>
      </c>
      <c r="D1326">
        <v>313</v>
      </c>
      <c r="E1326">
        <v>17016</v>
      </c>
      <c r="F1326">
        <v>24</v>
      </c>
      <c r="G1326">
        <v>55</v>
      </c>
      <c r="H1326" t="b">
        <v>0</v>
      </c>
      <c r="I1326">
        <f t="shared" si="40"/>
        <v>0</v>
      </c>
      <c r="J1326" t="str">
        <f t="shared" si="41"/>
        <v>300-450 (Poor)</v>
      </c>
      <c r="K1326" s="1"/>
    </row>
    <row r="1327" spans="1:11" x14ac:dyDescent="0.35">
      <c r="A1327" t="s">
        <v>3817</v>
      </c>
      <c r="B1327" t="s">
        <v>3818</v>
      </c>
      <c r="C1327">
        <v>68652</v>
      </c>
      <c r="D1327">
        <v>511</v>
      </c>
      <c r="E1327">
        <v>16918</v>
      </c>
      <c r="F1327">
        <v>18</v>
      </c>
      <c r="G1327">
        <v>45</v>
      </c>
      <c r="H1327" t="b">
        <v>0</v>
      </c>
      <c r="I1327">
        <f t="shared" si="40"/>
        <v>0</v>
      </c>
      <c r="J1327" t="str">
        <f t="shared" si="41"/>
        <v>451-600 (Fair)</v>
      </c>
      <c r="K1327" s="1"/>
    </row>
    <row r="1328" spans="1:11" x14ac:dyDescent="0.35">
      <c r="A1328" t="s">
        <v>3430</v>
      </c>
      <c r="B1328" t="s">
        <v>3431</v>
      </c>
      <c r="C1328">
        <v>46199</v>
      </c>
      <c r="D1328">
        <v>321</v>
      </c>
      <c r="E1328">
        <v>16906</v>
      </c>
      <c r="F1328">
        <v>26</v>
      </c>
      <c r="G1328">
        <v>30</v>
      </c>
      <c r="H1328" t="b">
        <v>0</v>
      </c>
      <c r="I1328">
        <f t="shared" si="40"/>
        <v>0</v>
      </c>
      <c r="J1328" t="str">
        <f t="shared" si="41"/>
        <v>300-450 (Poor)</v>
      </c>
      <c r="K1328" s="1"/>
    </row>
    <row r="1329" spans="1:11" x14ac:dyDescent="0.35">
      <c r="A1329" t="s">
        <v>2303</v>
      </c>
      <c r="B1329" t="s">
        <v>2304</v>
      </c>
      <c r="C1329">
        <v>53519</v>
      </c>
      <c r="D1329">
        <v>609</v>
      </c>
      <c r="E1329">
        <v>16902</v>
      </c>
      <c r="F1329">
        <v>37</v>
      </c>
      <c r="G1329">
        <v>55</v>
      </c>
      <c r="H1329" t="b">
        <v>0</v>
      </c>
      <c r="I1329">
        <f t="shared" si="40"/>
        <v>0</v>
      </c>
      <c r="J1329" t="str">
        <f t="shared" si="41"/>
        <v>601-750 (Good)</v>
      </c>
      <c r="K1329" s="1"/>
    </row>
    <row r="1330" spans="1:11" x14ac:dyDescent="0.35">
      <c r="A1330" t="s">
        <v>2097</v>
      </c>
      <c r="B1330" t="s">
        <v>1516</v>
      </c>
      <c r="C1330">
        <v>65179</v>
      </c>
      <c r="D1330">
        <v>731</v>
      </c>
      <c r="E1330">
        <v>16892</v>
      </c>
      <c r="F1330">
        <v>13</v>
      </c>
      <c r="G1330">
        <v>65</v>
      </c>
      <c r="H1330" t="b">
        <v>1</v>
      </c>
      <c r="I1330">
        <f t="shared" si="40"/>
        <v>1</v>
      </c>
      <c r="J1330" t="str">
        <f t="shared" si="41"/>
        <v>601-750 (Good)</v>
      </c>
      <c r="K1330" s="1"/>
    </row>
    <row r="1331" spans="1:11" x14ac:dyDescent="0.35">
      <c r="A1331" t="s">
        <v>2797</v>
      </c>
      <c r="B1331" t="s">
        <v>2798</v>
      </c>
      <c r="C1331">
        <v>149659</v>
      </c>
      <c r="D1331">
        <v>464</v>
      </c>
      <c r="E1331">
        <v>16890</v>
      </c>
      <c r="F1331">
        <v>25</v>
      </c>
      <c r="G1331">
        <v>55</v>
      </c>
      <c r="H1331" t="b">
        <v>0</v>
      </c>
      <c r="I1331">
        <f t="shared" si="40"/>
        <v>0</v>
      </c>
      <c r="J1331" t="str">
        <f t="shared" si="41"/>
        <v>451-600 (Fair)</v>
      </c>
      <c r="K1331" s="1"/>
    </row>
    <row r="1332" spans="1:11" x14ac:dyDescent="0.35">
      <c r="A1332" t="s">
        <v>2180</v>
      </c>
      <c r="B1332" t="s">
        <v>2181</v>
      </c>
      <c r="C1332">
        <v>102768</v>
      </c>
      <c r="D1332">
        <v>740</v>
      </c>
      <c r="E1332">
        <v>16848</v>
      </c>
      <c r="F1332">
        <v>35</v>
      </c>
      <c r="G1332">
        <v>90</v>
      </c>
      <c r="H1332" t="b">
        <v>1</v>
      </c>
      <c r="I1332">
        <f t="shared" si="40"/>
        <v>1</v>
      </c>
      <c r="J1332" t="str">
        <f t="shared" si="41"/>
        <v>601-750 (Good)</v>
      </c>
      <c r="K1332" s="1"/>
    </row>
    <row r="1333" spans="1:11" x14ac:dyDescent="0.35">
      <c r="A1333" t="s">
        <v>3091</v>
      </c>
      <c r="B1333" t="s">
        <v>3092</v>
      </c>
      <c r="C1333">
        <v>69251</v>
      </c>
      <c r="D1333">
        <v>613</v>
      </c>
      <c r="E1333">
        <v>16848</v>
      </c>
      <c r="F1333">
        <v>25</v>
      </c>
      <c r="G1333">
        <v>60</v>
      </c>
      <c r="H1333" t="b">
        <v>1</v>
      </c>
      <c r="I1333">
        <f t="shared" si="40"/>
        <v>1</v>
      </c>
      <c r="J1333" t="str">
        <f t="shared" si="41"/>
        <v>601-750 (Good)</v>
      </c>
      <c r="K1333" s="1"/>
    </row>
    <row r="1334" spans="1:11" x14ac:dyDescent="0.35">
      <c r="A1334" t="s">
        <v>3397</v>
      </c>
      <c r="B1334" t="s">
        <v>3398</v>
      </c>
      <c r="C1334">
        <v>128848</v>
      </c>
      <c r="D1334">
        <v>375</v>
      </c>
      <c r="E1334">
        <v>16826</v>
      </c>
      <c r="F1334">
        <v>34</v>
      </c>
      <c r="G1334">
        <v>55</v>
      </c>
      <c r="H1334" t="b">
        <v>0</v>
      </c>
      <c r="I1334">
        <f t="shared" si="40"/>
        <v>0</v>
      </c>
      <c r="J1334" t="str">
        <f t="shared" si="41"/>
        <v>300-450 (Poor)</v>
      </c>
      <c r="K1334" s="1"/>
    </row>
    <row r="1335" spans="1:11" x14ac:dyDescent="0.35">
      <c r="A1335" t="s">
        <v>3893</v>
      </c>
      <c r="B1335" t="s">
        <v>3894</v>
      </c>
      <c r="C1335">
        <v>41957</v>
      </c>
      <c r="D1335">
        <v>763</v>
      </c>
      <c r="E1335">
        <v>16752</v>
      </c>
      <c r="F1335">
        <v>5</v>
      </c>
      <c r="G1335">
        <v>60</v>
      </c>
      <c r="H1335" t="b">
        <v>1</v>
      </c>
      <c r="I1335">
        <f t="shared" si="40"/>
        <v>1</v>
      </c>
      <c r="J1335" t="str">
        <f t="shared" si="41"/>
        <v>751-850 (Excellent)</v>
      </c>
      <c r="K1335" s="1"/>
    </row>
    <row r="1336" spans="1:11" x14ac:dyDescent="0.35">
      <c r="A1336" t="s">
        <v>1770</v>
      </c>
      <c r="B1336" t="s">
        <v>1771</v>
      </c>
      <c r="C1336">
        <v>100545</v>
      </c>
      <c r="D1336">
        <v>767</v>
      </c>
      <c r="E1336">
        <v>16738</v>
      </c>
      <c r="F1336">
        <v>23</v>
      </c>
      <c r="G1336">
        <v>90</v>
      </c>
      <c r="H1336" t="b">
        <v>1</v>
      </c>
      <c r="I1336">
        <f t="shared" si="40"/>
        <v>1</v>
      </c>
      <c r="J1336" t="str">
        <f t="shared" si="41"/>
        <v>751-850 (Excellent)</v>
      </c>
      <c r="K1336" s="1"/>
    </row>
    <row r="1337" spans="1:11" x14ac:dyDescent="0.35">
      <c r="A1337" t="s">
        <v>502</v>
      </c>
      <c r="B1337" t="s">
        <v>503</v>
      </c>
      <c r="C1337">
        <v>61571</v>
      </c>
      <c r="D1337">
        <v>706</v>
      </c>
      <c r="E1337">
        <v>16684</v>
      </c>
      <c r="F1337">
        <v>35</v>
      </c>
      <c r="G1337">
        <v>65</v>
      </c>
      <c r="H1337" t="b">
        <v>1</v>
      </c>
      <c r="I1337">
        <f t="shared" si="40"/>
        <v>1</v>
      </c>
      <c r="J1337" t="str">
        <f t="shared" si="41"/>
        <v>601-750 (Good)</v>
      </c>
      <c r="K1337" s="1"/>
    </row>
    <row r="1338" spans="1:11" x14ac:dyDescent="0.35">
      <c r="A1338" t="s">
        <v>3442</v>
      </c>
      <c r="B1338" t="s">
        <v>3443</v>
      </c>
      <c r="C1338">
        <v>64362</v>
      </c>
      <c r="D1338">
        <v>598</v>
      </c>
      <c r="E1338">
        <v>16651</v>
      </c>
      <c r="F1338">
        <v>13</v>
      </c>
      <c r="G1338">
        <v>55</v>
      </c>
      <c r="H1338" t="b">
        <v>0</v>
      </c>
      <c r="I1338">
        <f t="shared" si="40"/>
        <v>0</v>
      </c>
      <c r="J1338" t="str">
        <f t="shared" si="41"/>
        <v>451-600 (Fair)</v>
      </c>
      <c r="K1338" s="1"/>
    </row>
    <row r="1339" spans="1:11" x14ac:dyDescent="0.35">
      <c r="A1339" t="s">
        <v>3172</v>
      </c>
      <c r="B1339" t="s">
        <v>636</v>
      </c>
      <c r="C1339">
        <v>135464</v>
      </c>
      <c r="D1339">
        <v>303</v>
      </c>
      <c r="E1339">
        <v>16648</v>
      </c>
      <c r="F1339">
        <v>19</v>
      </c>
      <c r="G1339">
        <v>55</v>
      </c>
      <c r="H1339" t="b">
        <v>0</v>
      </c>
      <c r="I1339">
        <f t="shared" si="40"/>
        <v>0</v>
      </c>
      <c r="J1339" t="str">
        <f t="shared" si="41"/>
        <v>300-450 (Poor)</v>
      </c>
      <c r="K1339" s="1"/>
    </row>
    <row r="1340" spans="1:11" x14ac:dyDescent="0.35">
      <c r="A1340" t="s">
        <v>141</v>
      </c>
      <c r="B1340" t="s">
        <v>142</v>
      </c>
      <c r="C1340">
        <v>90217</v>
      </c>
      <c r="D1340">
        <v>456</v>
      </c>
      <c r="E1340">
        <v>16633</v>
      </c>
      <c r="F1340">
        <v>8</v>
      </c>
      <c r="G1340">
        <v>45</v>
      </c>
      <c r="H1340" t="b">
        <v>0</v>
      </c>
      <c r="I1340">
        <f t="shared" si="40"/>
        <v>0</v>
      </c>
      <c r="J1340" t="str">
        <f t="shared" si="41"/>
        <v>451-600 (Fair)</v>
      </c>
      <c r="K1340" s="1"/>
    </row>
    <row r="1341" spans="1:11" x14ac:dyDescent="0.35">
      <c r="A1341" t="s">
        <v>1859</v>
      </c>
      <c r="B1341" t="s">
        <v>1860</v>
      </c>
      <c r="C1341">
        <v>57742</v>
      </c>
      <c r="D1341">
        <v>338</v>
      </c>
      <c r="E1341">
        <v>16601</v>
      </c>
      <c r="F1341">
        <v>38</v>
      </c>
      <c r="G1341">
        <v>40</v>
      </c>
      <c r="H1341" t="b">
        <v>0</v>
      </c>
      <c r="I1341">
        <f t="shared" si="40"/>
        <v>0</v>
      </c>
      <c r="J1341" t="str">
        <f t="shared" si="41"/>
        <v>300-450 (Poor)</v>
      </c>
      <c r="K1341" s="1"/>
    </row>
    <row r="1342" spans="1:11" x14ac:dyDescent="0.35">
      <c r="A1342" t="s">
        <v>1283</v>
      </c>
      <c r="B1342" t="s">
        <v>1284</v>
      </c>
      <c r="C1342">
        <v>33617</v>
      </c>
      <c r="D1342">
        <v>692</v>
      </c>
      <c r="E1342">
        <v>16594</v>
      </c>
      <c r="F1342">
        <v>28</v>
      </c>
      <c r="G1342">
        <v>50</v>
      </c>
      <c r="H1342" t="b">
        <v>0</v>
      </c>
      <c r="I1342">
        <f t="shared" si="40"/>
        <v>0</v>
      </c>
      <c r="J1342" t="str">
        <f t="shared" si="41"/>
        <v>601-750 (Good)</v>
      </c>
      <c r="K1342" s="1"/>
    </row>
    <row r="1343" spans="1:11" x14ac:dyDescent="0.35">
      <c r="A1343" t="s">
        <v>1177</v>
      </c>
      <c r="B1343" t="s">
        <v>1178</v>
      </c>
      <c r="C1343">
        <v>53206</v>
      </c>
      <c r="D1343">
        <v>805</v>
      </c>
      <c r="E1343">
        <v>16589</v>
      </c>
      <c r="F1343">
        <v>13</v>
      </c>
      <c r="G1343">
        <v>80</v>
      </c>
      <c r="H1343" t="b">
        <v>1</v>
      </c>
      <c r="I1343">
        <f t="shared" si="40"/>
        <v>1</v>
      </c>
      <c r="J1343" t="str">
        <f t="shared" si="41"/>
        <v>751-850 (Excellent)</v>
      </c>
      <c r="K1343" s="1"/>
    </row>
    <row r="1344" spans="1:11" x14ac:dyDescent="0.35">
      <c r="A1344" t="s">
        <v>3467</v>
      </c>
      <c r="B1344" t="s">
        <v>593</v>
      </c>
      <c r="C1344">
        <v>103584</v>
      </c>
      <c r="D1344">
        <v>645</v>
      </c>
      <c r="E1344">
        <v>16574</v>
      </c>
      <c r="F1344">
        <v>31</v>
      </c>
      <c r="G1344">
        <v>70</v>
      </c>
      <c r="H1344" t="b">
        <v>1</v>
      </c>
      <c r="I1344">
        <f t="shared" si="40"/>
        <v>1</v>
      </c>
      <c r="J1344" t="str">
        <f t="shared" si="41"/>
        <v>601-750 (Good)</v>
      </c>
      <c r="K1344" s="1"/>
    </row>
    <row r="1345" spans="1:11" x14ac:dyDescent="0.35">
      <c r="A1345" t="s">
        <v>879</v>
      </c>
      <c r="B1345" t="s">
        <v>880</v>
      </c>
      <c r="C1345">
        <v>104668</v>
      </c>
      <c r="D1345">
        <v>698</v>
      </c>
      <c r="E1345">
        <v>16571</v>
      </c>
      <c r="F1345">
        <v>32</v>
      </c>
      <c r="G1345">
        <v>80</v>
      </c>
      <c r="H1345" t="b">
        <v>1</v>
      </c>
      <c r="I1345">
        <f t="shared" si="40"/>
        <v>1</v>
      </c>
      <c r="J1345" t="str">
        <f t="shared" si="41"/>
        <v>601-750 (Good)</v>
      </c>
      <c r="K1345" s="1"/>
    </row>
    <row r="1346" spans="1:11" x14ac:dyDescent="0.35">
      <c r="A1346" t="s">
        <v>1755</v>
      </c>
      <c r="B1346" t="s">
        <v>1756</v>
      </c>
      <c r="C1346">
        <v>76105</v>
      </c>
      <c r="D1346">
        <v>358</v>
      </c>
      <c r="E1346">
        <v>16557</v>
      </c>
      <c r="F1346">
        <v>32</v>
      </c>
      <c r="G1346">
        <v>50</v>
      </c>
      <c r="H1346" t="b">
        <v>0</v>
      </c>
      <c r="I1346">
        <f t="shared" si="40"/>
        <v>0</v>
      </c>
      <c r="J1346" t="str">
        <f t="shared" si="41"/>
        <v>300-450 (Poor)</v>
      </c>
      <c r="K1346" s="1"/>
    </row>
    <row r="1347" spans="1:11" x14ac:dyDescent="0.35">
      <c r="A1347" t="s">
        <v>3635</v>
      </c>
      <c r="B1347" t="s">
        <v>3636</v>
      </c>
      <c r="C1347">
        <v>130290</v>
      </c>
      <c r="D1347">
        <v>447</v>
      </c>
      <c r="E1347">
        <v>16496</v>
      </c>
      <c r="F1347">
        <v>10</v>
      </c>
      <c r="G1347">
        <v>55</v>
      </c>
      <c r="H1347" t="b">
        <v>0</v>
      </c>
      <c r="I1347">
        <f t="shared" si="40"/>
        <v>0</v>
      </c>
      <c r="J1347" t="str">
        <f t="shared" si="41"/>
        <v>300-450 (Poor)</v>
      </c>
      <c r="K1347" s="1"/>
    </row>
    <row r="1348" spans="1:11" x14ac:dyDescent="0.35">
      <c r="A1348" t="s">
        <v>301</v>
      </c>
      <c r="B1348" t="s">
        <v>302</v>
      </c>
      <c r="C1348">
        <v>81856</v>
      </c>
      <c r="D1348">
        <v>451</v>
      </c>
      <c r="E1348">
        <v>16484</v>
      </c>
      <c r="F1348">
        <v>6</v>
      </c>
      <c r="G1348">
        <v>45</v>
      </c>
      <c r="H1348" t="b">
        <v>0</v>
      </c>
      <c r="I1348">
        <f t="shared" ref="I1348:I1411" si="42">--H1348</f>
        <v>0</v>
      </c>
      <c r="J1348" t="str">
        <f t="shared" ref="J1348:J1411" si="43">IF(D1348&gt;750, "751-850 (Excellent)", IF(D1348&gt;600, "601-750 (Good)", IF(D1348&gt;450, "451-600 (Fair)", "300-450 (Poor)")))</f>
        <v>451-600 (Fair)</v>
      </c>
      <c r="K1348" s="1"/>
    </row>
    <row r="1349" spans="1:11" x14ac:dyDescent="0.35">
      <c r="A1349" t="s">
        <v>1015</v>
      </c>
      <c r="B1349" t="s">
        <v>1016</v>
      </c>
      <c r="C1349">
        <v>44029</v>
      </c>
      <c r="D1349">
        <v>576</v>
      </c>
      <c r="E1349">
        <v>16453</v>
      </c>
      <c r="F1349">
        <v>35</v>
      </c>
      <c r="G1349">
        <v>30</v>
      </c>
      <c r="H1349" t="b">
        <v>0</v>
      </c>
      <c r="I1349">
        <f t="shared" si="42"/>
        <v>0</v>
      </c>
      <c r="J1349" t="str">
        <f t="shared" si="43"/>
        <v>451-600 (Fair)</v>
      </c>
      <c r="K1349" s="1"/>
    </row>
    <row r="1350" spans="1:11" x14ac:dyDescent="0.35">
      <c r="A1350" t="s">
        <v>2094</v>
      </c>
      <c r="B1350" t="s">
        <v>244</v>
      </c>
      <c r="C1350">
        <v>125817</v>
      </c>
      <c r="D1350">
        <v>389</v>
      </c>
      <c r="E1350">
        <v>16413</v>
      </c>
      <c r="F1350">
        <v>23</v>
      </c>
      <c r="G1350">
        <v>55</v>
      </c>
      <c r="H1350" t="b">
        <v>0</v>
      </c>
      <c r="I1350">
        <f t="shared" si="42"/>
        <v>0</v>
      </c>
      <c r="J1350" t="str">
        <f t="shared" si="43"/>
        <v>300-450 (Poor)</v>
      </c>
      <c r="K1350" s="1"/>
    </row>
    <row r="1351" spans="1:11" x14ac:dyDescent="0.35">
      <c r="A1351" t="s">
        <v>113</v>
      </c>
      <c r="B1351" t="s">
        <v>114</v>
      </c>
      <c r="C1351">
        <v>130072</v>
      </c>
      <c r="D1351">
        <v>395</v>
      </c>
      <c r="E1351">
        <v>16392</v>
      </c>
      <c r="F1351">
        <v>19</v>
      </c>
      <c r="G1351">
        <v>55</v>
      </c>
      <c r="H1351" t="b">
        <v>0</v>
      </c>
      <c r="I1351">
        <f t="shared" si="42"/>
        <v>0</v>
      </c>
      <c r="J1351" t="str">
        <f t="shared" si="43"/>
        <v>300-450 (Poor)</v>
      </c>
      <c r="K1351" s="1"/>
    </row>
    <row r="1352" spans="1:11" x14ac:dyDescent="0.35">
      <c r="A1352" t="s">
        <v>1629</v>
      </c>
      <c r="B1352" t="s">
        <v>1630</v>
      </c>
      <c r="C1352">
        <v>148863</v>
      </c>
      <c r="D1352">
        <v>610</v>
      </c>
      <c r="E1352">
        <v>16382</v>
      </c>
      <c r="F1352">
        <v>13</v>
      </c>
      <c r="G1352">
        <v>70</v>
      </c>
      <c r="H1352" t="b">
        <v>1</v>
      </c>
      <c r="I1352">
        <f t="shared" si="42"/>
        <v>1</v>
      </c>
      <c r="J1352" t="str">
        <f t="shared" si="43"/>
        <v>601-750 (Good)</v>
      </c>
      <c r="K1352" s="1"/>
    </row>
    <row r="1353" spans="1:11" x14ac:dyDescent="0.35">
      <c r="A1353" t="s">
        <v>1489</v>
      </c>
      <c r="B1353" t="s">
        <v>1490</v>
      </c>
      <c r="C1353">
        <v>42240</v>
      </c>
      <c r="D1353">
        <v>553</v>
      </c>
      <c r="E1353">
        <v>16376</v>
      </c>
      <c r="F1353">
        <v>19</v>
      </c>
      <c r="G1353">
        <v>30</v>
      </c>
      <c r="H1353" t="b">
        <v>0</v>
      </c>
      <c r="I1353">
        <f t="shared" si="42"/>
        <v>0</v>
      </c>
      <c r="J1353" t="str">
        <f t="shared" si="43"/>
        <v>451-600 (Fair)</v>
      </c>
      <c r="K1353" s="1"/>
    </row>
    <row r="1354" spans="1:11" x14ac:dyDescent="0.35">
      <c r="A1354" t="s">
        <v>823</v>
      </c>
      <c r="B1354" t="s">
        <v>824</v>
      </c>
      <c r="C1354">
        <v>105914</v>
      </c>
      <c r="D1354">
        <v>638</v>
      </c>
      <c r="E1354">
        <v>16368</v>
      </c>
      <c r="F1354">
        <v>0</v>
      </c>
      <c r="G1354">
        <v>55</v>
      </c>
      <c r="H1354" t="b">
        <v>0</v>
      </c>
      <c r="I1354">
        <f t="shared" si="42"/>
        <v>0</v>
      </c>
      <c r="J1354" t="str">
        <f t="shared" si="43"/>
        <v>601-750 (Good)</v>
      </c>
      <c r="K1354" s="1"/>
    </row>
    <row r="1355" spans="1:11" x14ac:dyDescent="0.35">
      <c r="A1355" t="s">
        <v>3354</v>
      </c>
      <c r="B1355" t="s">
        <v>3355</v>
      </c>
      <c r="C1355">
        <v>100701</v>
      </c>
      <c r="D1355">
        <v>317</v>
      </c>
      <c r="E1355">
        <v>16363</v>
      </c>
      <c r="F1355">
        <v>31</v>
      </c>
      <c r="G1355">
        <v>55</v>
      </c>
      <c r="H1355" t="b">
        <v>0</v>
      </c>
      <c r="I1355">
        <f t="shared" si="42"/>
        <v>0</v>
      </c>
      <c r="J1355" t="str">
        <f t="shared" si="43"/>
        <v>300-450 (Poor)</v>
      </c>
      <c r="K1355" s="1"/>
    </row>
    <row r="1356" spans="1:11" x14ac:dyDescent="0.35">
      <c r="A1356" t="s">
        <v>1721</v>
      </c>
      <c r="B1356" t="s">
        <v>1722</v>
      </c>
      <c r="C1356">
        <v>38161</v>
      </c>
      <c r="D1356">
        <v>526</v>
      </c>
      <c r="E1356">
        <v>16352</v>
      </c>
      <c r="F1356">
        <v>31</v>
      </c>
      <c r="G1356">
        <v>25</v>
      </c>
      <c r="H1356" t="b">
        <v>0</v>
      </c>
      <c r="I1356">
        <f t="shared" si="42"/>
        <v>0</v>
      </c>
      <c r="J1356" t="str">
        <f t="shared" si="43"/>
        <v>451-600 (Fair)</v>
      </c>
      <c r="K1356" s="1"/>
    </row>
    <row r="1357" spans="1:11" x14ac:dyDescent="0.35">
      <c r="A1357" t="s">
        <v>3380</v>
      </c>
      <c r="B1357" t="s">
        <v>3381</v>
      </c>
      <c r="C1357">
        <v>68684</v>
      </c>
      <c r="D1357">
        <v>460</v>
      </c>
      <c r="E1357">
        <v>16349</v>
      </c>
      <c r="F1357">
        <v>2</v>
      </c>
      <c r="G1357">
        <v>35</v>
      </c>
      <c r="H1357" t="b">
        <v>0</v>
      </c>
      <c r="I1357">
        <f t="shared" si="42"/>
        <v>0</v>
      </c>
      <c r="J1357" t="str">
        <f t="shared" si="43"/>
        <v>451-600 (Fair)</v>
      </c>
      <c r="K1357" s="1"/>
    </row>
    <row r="1358" spans="1:11" x14ac:dyDescent="0.35">
      <c r="A1358" t="s">
        <v>209</v>
      </c>
      <c r="B1358" t="s">
        <v>210</v>
      </c>
      <c r="C1358">
        <v>78520</v>
      </c>
      <c r="D1358">
        <v>692</v>
      </c>
      <c r="E1358">
        <v>16306</v>
      </c>
      <c r="F1358">
        <v>26</v>
      </c>
      <c r="G1358">
        <v>75</v>
      </c>
      <c r="H1358" t="b">
        <v>1</v>
      </c>
      <c r="I1358">
        <f t="shared" si="42"/>
        <v>1</v>
      </c>
      <c r="J1358" t="str">
        <f t="shared" si="43"/>
        <v>601-750 (Good)</v>
      </c>
      <c r="K1358" s="1"/>
    </row>
    <row r="1359" spans="1:11" x14ac:dyDescent="0.35">
      <c r="A1359" t="s">
        <v>1929</v>
      </c>
      <c r="B1359" t="s">
        <v>1930</v>
      </c>
      <c r="C1359">
        <v>92070</v>
      </c>
      <c r="D1359">
        <v>747</v>
      </c>
      <c r="E1359">
        <v>16293</v>
      </c>
      <c r="F1359">
        <v>14</v>
      </c>
      <c r="G1359">
        <v>85</v>
      </c>
      <c r="H1359" t="b">
        <v>1</v>
      </c>
      <c r="I1359">
        <f t="shared" si="42"/>
        <v>1</v>
      </c>
      <c r="J1359" t="str">
        <f t="shared" si="43"/>
        <v>601-750 (Good)</v>
      </c>
      <c r="K1359" s="1"/>
    </row>
    <row r="1360" spans="1:11" x14ac:dyDescent="0.35">
      <c r="A1360" t="s">
        <v>255</v>
      </c>
      <c r="B1360" t="s">
        <v>256</v>
      </c>
      <c r="C1360">
        <v>119733</v>
      </c>
      <c r="D1360">
        <v>521</v>
      </c>
      <c r="E1360">
        <v>16269</v>
      </c>
      <c r="F1360">
        <v>21</v>
      </c>
      <c r="G1360">
        <v>55</v>
      </c>
      <c r="H1360" t="b">
        <v>0</v>
      </c>
      <c r="I1360">
        <f t="shared" si="42"/>
        <v>0</v>
      </c>
      <c r="J1360" t="str">
        <f t="shared" si="43"/>
        <v>451-600 (Fair)</v>
      </c>
      <c r="K1360" s="1"/>
    </row>
    <row r="1361" spans="1:11" x14ac:dyDescent="0.35">
      <c r="A1361" t="s">
        <v>2494</v>
      </c>
      <c r="B1361" t="s">
        <v>2495</v>
      </c>
      <c r="C1361">
        <v>122141</v>
      </c>
      <c r="D1361">
        <v>706</v>
      </c>
      <c r="E1361">
        <v>16211</v>
      </c>
      <c r="F1361">
        <v>28</v>
      </c>
      <c r="G1361">
        <v>80</v>
      </c>
      <c r="H1361" t="b">
        <v>1</v>
      </c>
      <c r="I1361">
        <f t="shared" si="42"/>
        <v>1</v>
      </c>
      <c r="J1361" t="str">
        <f t="shared" si="43"/>
        <v>601-750 (Good)</v>
      </c>
      <c r="K1361" s="1"/>
    </row>
    <row r="1362" spans="1:11" x14ac:dyDescent="0.35">
      <c r="A1362" t="s">
        <v>2443</v>
      </c>
      <c r="B1362" t="s">
        <v>2444</v>
      </c>
      <c r="C1362">
        <v>43006</v>
      </c>
      <c r="D1362">
        <v>408</v>
      </c>
      <c r="E1362">
        <v>16183</v>
      </c>
      <c r="F1362">
        <v>17</v>
      </c>
      <c r="G1362">
        <v>30</v>
      </c>
      <c r="H1362" t="b">
        <v>0</v>
      </c>
      <c r="I1362">
        <f t="shared" si="42"/>
        <v>0</v>
      </c>
      <c r="J1362" t="str">
        <f t="shared" si="43"/>
        <v>300-450 (Poor)</v>
      </c>
      <c r="K1362" s="1"/>
    </row>
    <row r="1363" spans="1:11" x14ac:dyDescent="0.35">
      <c r="A1363" t="s">
        <v>3321</v>
      </c>
      <c r="B1363" t="s">
        <v>3322</v>
      </c>
      <c r="C1363">
        <v>133364</v>
      </c>
      <c r="D1363">
        <v>380</v>
      </c>
      <c r="E1363">
        <v>16172</v>
      </c>
      <c r="F1363">
        <v>3</v>
      </c>
      <c r="G1363">
        <v>45</v>
      </c>
      <c r="H1363" t="b">
        <v>0</v>
      </c>
      <c r="I1363">
        <f t="shared" si="42"/>
        <v>0</v>
      </c>
      <c r="J1363" t="str">
        <f t="shared" si="43"/>
        <v>300-450 (Poor)</v>
      </c>
      <c r="K1363" s="1"/>
    </row>
    <row r="1364" spans="1:11" x14ac:dyDescent="0.35">
      <c r="A1364" t="s">
        <v>3462</v>
      </c>
      <c r="B1364" t="s">
        <v>3463</v>
      </c>
      <c r="C1364">
        <v>33280</v>
      </c>
      <c r="D1364">
        <v>531</v>
      </c>
      <c r="E1364">
        <v>16161</v>
      </c>
      <c r="F1364">
        <v>25</v>
      </c>
      <c r="G1364">
        <v>25</v>
      </c>
      <c r="H1364" t="b">
        <v>0</v>
      </c>
      <c r="I1364">
        <f t="shared" si="42"/>
        <v>0</v>
      </c>
      <c r="J1364" t="str">
        <f t="shared" si="43"/>
        <v>451-600 (Fair)</v>
      </c>
      <c r="K1364" s="1"/>
    </row>
    <row r="1365" spans="1:11" x14ac:dyDescent="0.35">
      <c r="A1365" t="s">
        <v>3683</v>
      </c>
      <c r="B1365" t="s">
        <v>3684</v>
      </c>
      <c r="C1365">
        <v>143567</v>
      </c>
      <c r="D1365">
        <v>790</v>
      </c>
      <c r="E1365">
        <v>16126</v>
      </c>
      <c r="F1365">
        <v>35</v>
      </c>
      <c r="G1365">
        <v>90</v>
      </c>
      <c r="H1365" t="b">
        <v>1</v>
      </c>
      <c r="I1365">
        <f t="shared" si="42"/>
        <v>1</v>
      </c>
      <c r="J1365" t="str">
        <f t="shared" si="43"/>
        <v>751-850 (Excellent)</v>
      </c>
      <c r="K1365" s="1"/>
    </row>
    <row r="1366" spans="1:11" x14ac:dyDescent="0.35">
      <c r="A1366" t="s">
        <v>2028</v>
      </c>
      <c r="B1366" t="s">
        <v>798</v>
      </c>
      <c r="C1366">
        <v>86148</v>
      </c>
      <c r="D1366">
        <v>452</v>
      </c>
      <c r="E1366">
        <v>16032</v>
      </c>
      <c r="F1366">
        <v>7</v>
      </c>
      <c r="G1366">
        <v>45</v>
      </c>
      <c r="H1366" t="b">
        <v>0</v>
      </c>
      <c r="I1366">
        <f t="shared" si="42"/>
        <v>0</v>
      </c>
      <c r="J1366" t="str">
        <f t="shared" si="43"/>
        <v>451-600 (Fair)</v>
      </c>
      <c r="K1366" s="1"/>
    </row>
    <row r="1367" spans="1:11" x14ac:dyDescent="0.35">
      <c r="A1367" t="s">
        <v>627</v>
      </c>
      <c r="B1367" t="s">
        <v>628</v>
      </c>
      <c r="C1367">
        <v>61195</v>
      </c>
      <c r="D1367">
        <v>372</v>
      </c>
      <c r="E1367">
        <v>16004</v>
      </c>
      <c r="F1367">
        <v>24</v>
      </c>
      <c r="G1367">
        <v>40</v>
      </c>
      <c r="H1367" t="b">
        <v>0</v>
      </c>
      <c r="I1367">
        <f t="shared" si="42"/>
        <v>0</v>
      </c>
      <c r="J1367" t="str">
        <f t="shared" si="43"/>
        <v>300-450 (Poor)</v>
      </c>
      <c r="K1367" s="1"/>
    </row>
    <row r="1368" spans="1:11" x14ac:dyDescent="0.35">
      <c r="A1368" t="s">
        <v>3795</v>
      </c>
      <c r="B1368" t="s">
        <v>3796</v>
      </c>
      <c r="C1368">
        <v>38609</v>
      </c>
      <c r="D1368">
        <v>655</v>
      </c>
      <c r="E1368">
        <v>16001</v>
      </c>
      <c r="F1368">
        <v>3</v>
      </c>
      <c r="G1368">
        <v>30</v>
      </c>
      <c r="H1368" t="b">
        <v>0</v>
      </c>
      <c r="I1368">
        <f t="shared" si="42"/>
        <v>0</v>
      </c>
      <c r="J1368" t="str">
        <f t="shared" si="43"/>
        <v>601-750 (Good)</v>
      </c>
      <c r="K1368" s="1"/>
    </row>
    <row r="1369" spans="1:11" x14ac:dyDescent="0.35">
      <c r="A1369" t="s">
        <v>3114</v>
      </c>
      <c r="B1369" t="s">
        <v>3115</v>
      </c>
      <c r="C1369">
        <v>62007</v>
      </c>
      <c r="D1369">
        <v>805</v>
      </c>
      <c r="E1369">
        <v>15990</v>
      </c>
      <c r="F1369">
        <v>28</v>
      </c>
      <c r="G1369">
        <v>80</v>
      </c>
      <c r="H1369" t="b">
        <v>1</v>
      </c>
      <c r="I1369">
        <f t="shared" si="42"/>
        <v>1</v>
      </c>
      <c r="J1369" t="str">
        <f t="shared" si="43"/>
        <v>751-850 (Excellent)</v>
      </c>
      <c r="K1369" s="1"/>
    </row>
    <row r="1370" spans="1:11" x14ac:dyDescent="0.35">
      <c r="A1370" t="s">
        <v>3756</v>
      </c>
      <c r="B1370" t="s">
        <v>3757</v>
      </c>
      <c r="C1370">
        <v>69535</v>
      </c>
      <c r="D1370">
        <v>813</v>
      </c>
      <c r="E1370">
        <v>15939</v>
      </c>
      <c r="F1370">
        <v>39</v>
      </c>
      <c r="G1370">
        <v>85</v>
      </c>
      <c r="H1370" t="b">
        <v>1</v>
      </c>
      <c r="I1370">
        <f t="shared" si="42"/>
        <v>1</v>
      </c>
      <c r="J1370" t="str">
        <f t="shared" si="43"/>
        <v>751-850 (Excellent)</v>
      </c>
      <c r="K1370" s="1"/>
    </row>
    <row r="1371" spans="1:11" x14ac:dyDescent="0.35">
      <c r="A1371" t="s">
        <v>3146</v>
      </c>
      <c r="B1371" t="s">
        <v>3147</v>
      </c>
      <c r="C1371">
        <v>95230</v>
      </c>
      <c r="D1371">
        <v>825</v>
      </c>
      <c r="E1371">
        <v>15931</v>
      </c>
      <c r="F1371">
        <v>20</v>
      </c>
      <c r="G1371">
        <v>90</v>
      </c>
      <c r="H1371" t="b">
        <v>1</v>
      </c>
      <c r="I1371">
        <f t="shared" si="42"/>
        <v>1</v>
      </c>
      <c r="J1371" t="str">
        <f t="shared" si="43"/>
        <v>751-850 (Excellent)</v>
      </c>
      <c r="K1371" s="1"/>
    </row>
    <row r="1372" spans="1:11" x14ac:dyDescent="0.35">
      <c r="A1372" t="s">
        <v>2365</v>
      </c>
      <c r="B1372" t="s">
        <v>2366</v>
      </c>
      <c r="C1372">
        <v>38564</v>
      </c>
      <c r="D1372">
        <v>310</v>
      </c>
      <c r="E1372">
        <v>15884</v>
      </c>
      <c r="F1372">
        <v>26</v>
      </c>
      <c r="G1372">
        <v>25</v>
      </c>
      <c r="H1372" t="b">
        <v>0</v>
      </c>
      <c r="I1372">
        <f t="shared" si="42"/>
        <v>0</v>
      </c>
      <c r="J1372" t="str">
        <f t="shared" si="43"/>
        <v>300-450 (Poor)</v>
      </c>
      <c r="K1372" s="1"/>
    </row>
    <row r="1373" spans="1:11" x14ac:dyDescent="0.35">
      <c r="A1373" t="s">
        <v>2799</v>
      </c>
      <c r="B1373" t="s">
        <v>2479</v>
      </c>
      <c r="C1373">
        <v>44871</v>
      </c>
      <c r="D1373">
        <v>372</v>
      </c>
      <c r="E1373">
        <v>15831</v>
      </c>
      <c r="F1373">
        <v>17</v>
      </c>
      <c r="G1373">
        <v>30</v>
      </c>
      <c r="H1373" t="b">
        <v>0</v>
      </c>
      <c r="I1373">
        <f t="shared" si="42"/>
        <v>0</v>
      </c>
      <c r="J1373" t="str">
        <f t="shared" si="43"/>
        <v>300-450 (Poor)</v>
      </c>
      <c r="K1373" s="1"/>
    </row>
    <row r="1374" spans="1:11" x14ac:dyDescent="0.35">
      <c r="A1374" t="s">
        <v>2557</v>
      </c>
      <c r="B1374" t="s">
        <v>2558</v>
      </c>
      <c r="C1374">
        <v>67828</v>
      </c>
      <c r="D1374">
        <v>723</v>
      </c>
      <c r="E1374">
        <v>15808</v>
      </c>
      <c r="F1374">
        <v>12</v>
      </c>
      <c r="G1374">
        <v>70</v>
      </c>
      <c r="H1374" t="b">
        <v>1</v>
      </c>
      <c r="I1374">
        <f t="shared" si="42"/>
        <v>1</v>
      </c>
      <c r="J1374" t="str">
        <f t="shared" si="43"/>
        <v>601-750 (Good)</v>
      </c>
      <c r="K1374" s="1"/>
    </row>
    <row r="1375" spans="1:11" x14ac:dyDescent="0.35">
      <c r="A1375" t="s">
        <v>1463</v>
      </c>
      <c r="B1375" t="s">
        <v>1464</v>
      </c>
      <c r="C1375">
        <v>134036</v>
      </c>
      <c r="D1375">
        <v>754</v>
      </c>
      <c r="E1375">
        <v>15802</v>
      </c>
      <c r="F1375">
        <v>35</v>
      </c>
      <c r="G1375">
        <v>90</v>
      </c>
      <c r="H1375" t="b">
        <v>1</v>
      </c>
      <c r="I1375">
        <f t="shared" si="42"/>
        <v>1</v>
      </c>
      <c r="J1375" t="str">
        <f t="shared" si="43"/>
        <v>751-850 (Excellent)</v>
      </c>
      <c r="K1375" s="1"/>
    </row>
    <row r="1376" spans="1:11" x14ac:dyDescent="0.35">
      <c r="A1376" t="s">
        <v>3382</v>
      </c>
      <c r="B1376" t="s">
        <v>1433</v>
      </c>
      <c r="C1376">
        <v>127853</v>
      </c>
      <c r="D1376">
        <v>760</v>
      </c>
      <c r="E1376">
        <v>15786</v>
      </c>
      <c r="F1376">
        <v>39</v>
      </c>
      <c r="G1376">
        <v>90</v>
      </c>
      <c r="H1376" t="b">
        <v>1</v>
      </c>
      <c r="I1376">
        <f t="shared" si="42"/>
        <v>1</v>
      </c>
      <c r="J1376" t="str">
        <f t="shared" si="43"/>
        <v>751-850 (Excellent)</v>
      </c>
      <c r="K1376" s="1"/>
    </row>
    <row r="1377" spans="1:11" x14ac:dyDescent="0.35">
      <c r="A1377" t="s">
        <v>1803</v>
      </c>
      <c r="B1377" t="s">
        <v>1804</v>
      </c>
      <c r="C1377">
        <v>119016</v>
      </c>
      <c r="D1377">
        <v>647</v>
      </c>
      <c r="E1377">
        <v>15777</v>
      </c>
      <c r="F1377">
        <v>26</v>
      </c>
      <c r="G1377">
        <v>70</v>
      </c>
      <c r="H1377" t="b">
        <v>1</v>
      </c>
      <c r="I1377">
        <f t="shared" si="42"/>
        <v>1</v>
      </c>
      <c r="J1377" t="str">
        <f t="shared" si="43"/>
        <v>601-750 (Good)</v>
      </c>
      <c r="K1377" s="1"/>
    </row>
    <row r="1378" spans="1:11" x14ac:dyDescent="0.35">
      <c r="A1378" t="s">
        <v>2637</v>
      </c>
      <c r="B1378" t="s">
        <v>2638</v>
      </c>
      <c r="C1378">
        <v>115394</v>
      </c>
      <c r="D1378">
        <v>701</v>
      </c>
      <c r="E1378">
        <v>15752</v>
      </c>
      <c r="F1378">
        <v>25</v>
      </c>
      <c r="G1378">
        <v>80</v>
      </c>
      <c r="H1378" t="b">
        <v>1</v>
      </c>
      <c r="I1378">
        <f t="shared" si="42"/>
        <v>1</v>
      </c>
      <c r="J1378" t="str">
        <f t="shared" si="43"/>
        <v>601-750 (Good)</v>
      </c>
      <c r="K1378" s="1"/>
    </row>
    <row r="1379" spans="1:11" x14ac:dyDescent="0.35">
      <c r="A1379" t="s">
        <v>2001</v>
      </c>
      <c r="B1379" t="s">
        <v>2002</v>
      </c>
      <c r="C1379">
        <v>121382</v>
      </c>
      <c r="D1379">
        <v>836</v>
      </c>
      <c r="E1379">
        <v>15750</v>
      </c>
      <c r="F1379">
        <v>11</v>
      </c>
      <c r="G1379">
        <v>95</v>
      </c>
      <c r="H1379" t="b">
        <v>1</v>
      </c>
      <c r="I1379">
        <f t="shared" si="42"/>
        <v>1</v>
      </c>
      <c r="J1379" t="str">
        <f t="shared" si="43"/>
        <v>751-850 (Excellent)</v>
      </c>
      <c r="K1379" s="1"/>
    </row>
    <row r="1380" spans="1:11" x14ac:dyDescent="0.35">
      <c r="A1380" t="s">
        <v>1957</v>
      </c>
      <c r="B1380" t="s">
        <v>1958</v>
      </c>
      <c r="C1380">
        <v>45012</v>
      </c>
      <c r="D1380">
        <v>821</v>
      </c>
      <c r="E1380">
        <v>15741</v>
      </c>
      <c r="F1380">
        <v>1</v>
      </c>
      <c r="G1380">
        <v>55</v>
      </c>
      <c r="H1380" t="b">
        <v>0</v>
      </c>
      <c r="I1380">
        <f t="shared" si="42"/>
        <v>0</v>
      </c>
      <c r="J1380" t="str">
        <f t="shared" si="43"/>
        <v>751-850 (Excellent)</v>
      </c>
      <c r="K1380" s="1"/>
    </row>
    <row r="1381" spans="1:11" x14ac:dyDescent="0.35">
      <c r="A1381" t="s">
        <v>2838</v>
      </c>
      <c r="B1381" t="s">
        <v>2839</v>
      </c>
      <c r="C1381">
        <v>80277</v>
      </c>
      <c r="D1381">
        <v>631</v>
      </c>
      <c r="E1381">
        <v>15734</v>
      </c>
      <c r="F1381">
        <v>28</v>
      </c>
      <c r="G1381">
        <v>65</v>
      </c>
      <c r="H1381" t="b">
        <v>1</v>
      </c>
      <c r="I1381">
        <f t="shared" si="42"/>
        <v>1</v>
      </c>
      <c r="J1381" t="str">
        <f t="shared" si="43"/>
        <v>601-750 (Good)</v>
      </c>
      <c r="K1381" s="1"/>
    </row>
    <row r="1382" spans="1:11" x14ac:dyDescent="0.35">
      <c r="A1382" t="s">
        <v>2921</v>
      </c>
      <c r="B1382" t="s">
        <v>2922</v>
      </c>
      <c r="C1382">
        <v>61300</v>
      </c>
      <c r="D1382">
        <v>422</v>
      </c>
      <c r="E1382">
        <v>15714</v>
      </c>
      <c r="F1382">
        <v>40</v>
      </c>
      <c r="G1382">
        <v>40</v>
      </c>
      <c r="H1382" t="b">
        <v>0</v>
      </c>
      <c r="I1382">
        <f t="shared" si="42"/>
        <v>0</v>
      </c>
      <c r="J1382" t="str">
        <f t="shared" si="43"/>
        <v>300-450 (Poor)</v>
      </c>
      <c r="K1382" s="1"/>
    </row>
    <row r="1383" spans="1:11" x14ac:dyDescent="0.35">
      <c r="A1383" t="s">
        <v>2231</v>
      </c>
      <c r="B1383" t="s">
        <v>2232</v>
      </c>
      <c r="C1383">
        <v>127771</v>
      </c>
      <c r="D1383">
        <v>329</v>
      </c>
      <c r="E1383">
        <v>15681</v>
      </c>
      <c r="F1383">
        <v>3</v>
      </c>
      <c r="G1383">
        <v>45</v>
      </c>
      <c r="H1383" t="b">
        <v>0</v>
      </c>
      <c r="I1383">
        <f t="shared" si="42"/>
        <v>0</v>
      </c>
      <c r="J1383" t="str">
        <f t="shared" si="43"/>
        <v>300-450 (Poor)</v>
      </c>
      <c r="K1383" s="1"/>
    </row>
    <row r="1384" spans="1:11" x14ac:dyDescent="0.35">
      <c r="A1384" t="s">
        <v>717</v>
      </c>
      <c r="B1384" t="s">
        <v>718</v>
      </c>
      <c r="C1384">
        <v>48373</v>
      </c>
      <c r="D1384">
        <v>665</v>
      </c>
      <c r="E1384">
        <v>15630</v>
      </c>
      <c r="F1384">
        <v>37</v>
      </c>
      <c r="G1384">
        <v>45</v>
      </c>
      <c r="H1384" t="b">
        <v>0</v>
      </c>
      <c r="I1384">
        <f t="shared" si="42"/>
        <v>0</v>
      </c>
      <c r="J1384" t="str">
        <f t="shared" si="43"/>
        <v>601-750 (Good)</v>
      </c>
      <c r="K1384" s="1"/>
    </row>
    <row r="1385" spans="1:11" x14ac:dyDescent="0.35">
      <c r="A1385" t="s">
        <v>2139</v>
      </c>
      <c r="B1385" t="s">
        <v>2140</v>
      </c>
      <c r="C1385">
        <v>93904</v>
      </c>
      <c r="D1385">
        <v>374</v>
      </c>
      <c r="E1385">
        <v>15617</v>
      </c>
      <c r="F1385">
        <v>24</v>
      </c>
      <c r="G1385">
        <v>50</v>
      </c>
      <c r="H1385" t="b">
        <v>0</v>
      </c>
      <c r="I1385">
        <f t="shared" si="42"/>
        <v>0</v>
      </c>
      <c r="J1385" t="str">
        <f t="shared" si="43"/>
        <v>300-450 (Poor)</v>
      </c>
      <c r="K1385" s="1"/>
    </row>
    <row r="1386" spans="1:11" x14ac:dyDescent="0.35">
      <c r="A1386" t="s">
        <v>791</v>
      </c>
      <c r="B1386" t="s">
        <v>792</v>
      </c>
      <c r="C1386">
        <v>132908</v>
      </c>
      <c r="D1386">
        <v>391</v>
      </c>
      <c r="E1386">
        <v>15565</v>
      </c>
      <c r="F1386">
        <v>22</v>
      </c>
      <c r="G1386">
        <v>55</v>
      </c>
      <c r="H1386" t="b">
        <v>0</v>
      </c>
      <c r="I1386">
        <f t="shared" si="42"/>
        <v>0</v>
      </c>
      <c r="J1386" t="str">
        <f t="shared" si="43"/>
        <v>300-450 (Poor)</v>
      </c>
      <c r="K1386" s="1"/>
    </row>
    <row r="1387" spans="1:11" x14ac:dyDescent="0.35">
      <c r="A1387" t="s">
        <v>2490</v>
      </c>
      <c r="B1387" t="s">
        <v>2491</v>
      </c>
      <c r="C1387">
        <v>122662</v>
      </c>
      <c r="D1387">
        <v>395</v>
      </c>
      <c r="E1387">
        <v>15565</v>
      </c>
      <c r="F1387">
        <v>26</v>
      </c>
      <c r="G1387">
        <v>55</v>
      </c>
      <c r="H1387" t="b">
        <v>0</v>
      </c>
      <c r="I1387">
        <f t="shared" si="42"/>
        <v>0</v>
      </c>
      <c r="J1387" t="str">
        <f t="shared" si="43"/>
        <v>300-450 (Poor)</v>
      </c>
      <c r="K1387" s="1"/>
    </row>
    <row r="1388" spans="1:11" x14ac:dyDescent="0.35">
      <c r="A1388" t="s">
        <v>3687</v>
      </c>
      <c r="B1388" t="s">
        <v>3688</v>
      </c>
      <c r="C1388">
        <v>47275</v>
      </c>
      <c r="D1388">
        <v>307</v>
      </c>
      <c r="E1388">
        <v>15538</v>
      </c>
      <c r="F1388">
        <v>18</v>
      </c>
      <c r="G1388">
        <v>30</v>
      </c>
      <c r="H1388" t="b">
        <v>0</v>
      </c>
      <c r="I1388">
        <f t="shared" si="42"/>
        <v>0</v>
      </c>
      <c r="J1388" t="str">
        <f t="shared" si="43"/>
        <v>300-450 (Poor)</v>
      </c>
      <c r="K1388" s="1"/>
    </row>
    <row r="1389" spans="1:11" x14ac:dyDescent="0.35">
      <c r="A1389" t="s">
        <v>2894</v>
      </c>
      <c r="B1389" t="s">
        <v>903</v>
      </c>
      <c r="C1389">
        <v>49476</v>
      </c>
      <c r="D1389">
        <v>490</v>
      </c>
      <c r="E1389">
        <v>15520</v>
      </c>
      <c r="F1389">
        <v>20</v>
      </c>
      <c r="G1389">
        <v>30</v>
      </c>
      <c r="H1389" t="b">
        <v>0</v>
      </c>
      <c r="I1389">
        <f t="shared" si="42"/>
        <v>0</v>
      </c>
      <c r="J1389" t="str">
        <f t="shared" si="43"/>
        <v>451-600 (Fair)</v>
      </c>
      <c r="K1389" s="1"/>
    </row>
    <row r="1390" spans="1:11" x14ac:dyDescent="0.35">
      <c r="A1390" t="s">
        <v>1440</v>
      </c>
      <c r="B1390" t="s">
        <v>517</v>
      </c>
      <c r="C1390">
        <v>132990</v>
      </c>
      <c r="D1390">
        <v>815</v>
      </c>
      <c r="E1390">
        <v>15490</v>
      </c>
      <c r="F1390">
        <v>12</v>
      </c>
      <c r="G1390">
        <v>95</v>
      </c>
      <c r="H1390" t="b">
        <v>1</v>
      </c>
      <c r="I1390">
        <f t="shared" si="42"/>
        <v>1</v>
      </c>
      <c r="J1390" t="str">
        <f t="shared" si="43"/>
        <v>751-850 (Excellent)</v>
      </c>
      <c r="K1390" s="1"/>
    </row>
    <row r="1391" spans="1:11" x14ac:dyDescent="0.35">
      <c r="A1391" t="s">
        <v>12</v>
      </c>
      <c r="B1391" t="s">
        <v>13</v>
      </c>
      <c r="C1391">
        <v>44592</v>
      </c>
      <c r="D1391">
        <v>729</v>
      </c>
      <c r="E1391">
        <v>15446</v>
      </c>
      <c r="F1391">
        <v>28</v>
      </c>
      <c r="G1391">
        <v>55</v>
      </c>
      <c r="H1391" t="b">
        <v>0</v>
      </c>
      <c r="I1391">
        <f t="shared" si="42"/>
        <v>0</v>
      </c>
      <c r="J1391" t="str">
        <f t="shared" si="43"/>
        <v>601-750 (Good)</v>
      </c>
      <c r="K1391" s="1"/>
    </row>
    <row r="1392" spans="1:11" x14ac:dyDescent="0.35">
      <c r="A1392" t="s">
        <v>36</v>
      </c>
      <c r="B1392" t="s">
        <v>37</v>
      </c>
      <c r="C1392">
        <v>118696</v>
      </c>
      <c r="D1392">
        <v>670</v>
      </c>
      <c r="E1392">
        <v>15373</v>
      </c>
      <c r="F1392">
        <v>8</v>
      </c>
      <c r="G1392">
        <v>75</v>
      </c>
      <c r="H1392" t="b">
        <v>1</v>
      </c>
      <c r="I1392">
        <f t="shared" si="42"/>
        <v>1</v>
      </c>
      <c r="J1392" t="str">
        <f t="shared" si="43"/>
        <v>601-750 (Good)</v>
      </c>
      <c r="K1392" s="1"/>
    </row>
    <row r="1393" spans="1:11" x14ac:dyDescent="0.35">
      <c r="A1393" t="s">
        <v>1766</v>
      </c>
      <c r="B1393" t="s">
        <v>1767</v>
      </c>
      <c r="C1393">
        <v>139540</v>
      </c>
      <c r="D1393">
        <v>478</v>
      </c>
      <c r="E1393">
        <v>15348</v>
      </c>
      <c r="F1393">
        <v>16</v>
      </c>
      <c r="G1393">
        <v>55</v>
      </c>
      <c r="H1393" t="b">
        <v>0</v>
      </c>
      <c r="I1393">
        <f t="shared" si="42"/>
        <v>0</v>
      </c>
      <c r="J1393" t="str">
        <f t="shared" si="43"/>
        <v>451-600 (Fair)</v>
      </c>
      <c r="K1393" s="1"/>
    </row>
    <row r="1394" spans="1:11" x14ac:dyDescent="0.35">
      <c r="A1394" t="s">
        <v>3370</v>
      </c>
      <c r="B1394" t="s">
        <v>3371</v>
      </c>
      <c r="C1394">
        <v>63681</v>
      </c>
      <c r="D1394">
        <v>519</v>
      </c>
      <c r="E1394">
        <v>15317</v>
      </c>
      <c r="F1394">
        <v>23</v>
      </c>
      <c r="G1394">
        <v>45</v>
      </c>
      <c r="H1394" t="b">
        <v>0</v>
      </c>
      <c r="I1394">
        <f t="shared" si="42"/>
        <v>0</v>
      </c>
      <c r="J1394" t="str">
        <f t="shared" si="43"/>
        <v>451-600 (Fair)</v>
      </c>
      <c r="K1394" s="1"/>
    </row>
    <row r="1395" spans="1:11" x14ac:dyDescent="0.35">
      <c r="A1395" t="s">
        <v>3616</v>
      </c>
      <c r="B1395" t="s">
        <v>3617</v>
      </c>
      <c r="C1395">
        <v>36629</v>
      </c>
      <c r="D1395">
        <v>838</v>
      </c>
      <c r="E1395">
        <v>15315</v>
      </c>
      <c r="F1395">
        <v>11</v>
      </c>
      <c r="G1395">
        <v>65</v>
      </c>
      <c r="H1395" t="b">
        <v>1</v>
      </c>
      <c r="I1395">
        <f t="shared" si="42"/>
        <v>1</v>
      </c>
      <c r="J1395" t="str">
        <f t="shared" si="43"/>
        <v>751-850 (Excellent)</v>
      </c>
      <c r="K1395" s="1"/>
    </row>
    <row r="1396" spans="1:11" x14ac:dyDescent="0.35">
      <c r="A1396" t="s">
        <v>1306</v>
      </c>
      <c r="B1396" t="s">
        <v>1307</v>
      </c>
      <c r="C1396">
        <v>125491</v>
      </c>
      <c r="D1396">
        <v>741</v>
      </c>
      <c r="E1396">
        <v>15312</v>
      </c>
      <c r="F1396">
        <v>39</v>
      </c>
      <c r="G1396">
        <v>90</v>
      </c>
      <c r="H1396" t="b">
        <v>1</v>
      </c>
      <c r="I1396">
        <f t="shared" si="42"/>
        <v>1</v>
      </c>
      <c r="J1396" t="str">
        <f t="shared" si="43"/>
        <v>601-750 (Good)</v>
      </c>
      <c r="K1396" s="1"/>
    </row>
    <row r="1397" spans="1:11" x14ac:dyDescent="0.35">
      <c r="A1397" t="s">
        <v>1948</v>
      </c>
      <c r="B1397" t="s">
        <v>1949</v>
      </c>
      <c r="C1397">
        <v>51992</v>
      </c>
      <c r="D1397">
        <v>514</v>
      </c>
      <c r="E1397">
        <v>15295</v>
      </c>
      <c r="F1397">
        <v>12</v>
      </c>
      <c r="G1397">
        <v>40</v>
      </c>
      <c r="H1397" t="b">
        <v>0</v>
      </c>
      <c r="I1397">
        <f t="shared" si="42"/>
        <v>0</v>
      </c>
      <c r="J1397" t="str">
        <f t="shared" si="43"/>
        <v>451-600 (Fair)</v>
      </c>
      <c r="K1397" s="1"/>
    </row>
    <row r="1398" spans="1:11" x14ac:dyDescent="0.35">
      <c r="A1398" t="s">
        <v>3340</v>
      </c>
      <c r="B1398" t="s">
        <v>3341</v>
      </c>
      <c r="C1398">
        <v>72823</v>
      </c>
      <c r="D1398">
        <v>436</v>
      </c>
      <c r="E1398">
        <v>15295</v>
      </c>
      <c r="F1398">
        <v>17</v>
      </c>
      <c r="G1398">
        <v>45</v>
      </c>
      <c r="H1398" t="b">
        <v>0</v>
      </c>
      <c r="I1398">
        <f t="shared" si="42"/>
        <v>0</v>
      </c>
      <c r="J1398" t="str">
        <f t="shared" si="43"/>
        <v>300-450 (Poor)</v>
      </c>
      <c r="K1398" s="1"/>
    </row>
    <row r="1399" spans="1:11" x14ac:dyDescent="0.35">
      <c r="A1399" t="s">
        <v>1525</v>
      </c>
      <c r="B1399" t="s">
        <v>1526</v>
      </c>
      <c r="C1399">
        <v>89692</v>
      </c>
      <c r="D1399">
        <v>733</v>
      </c>
      <c r="E1399">
        <v>15287</v>
      </c>
      <c r="F1399">
        <v>9</v>
      </c>
      <c r="G1399">
        <v>70</v>
      </c>
      <c r="H1399" t="b">
        <v>1</v>
      </c>
      <c r="I1399">
        <f t="shared" si="42"/>
        <v>1</v>
      </c>
      <c r="J1399" t="str">
        <f t="shared" si="43"/>
        <v>601-750 (Good)</v>
      </c>
      <c r="K1399" s="1"/>
    </row>
    <row r="1400" spans="1:11" x14ac:dyDescent="0.35">
      <c r="A1400" t="s">
        <v>3178</v>
      </c>
      <c r="B1400" t="s">
        <v>3179</v>
      </c>
      <c r="C1400">
        <v>118815</v>
      </c>
      <c r="D1400">
        <v>512</v>
      </c>
      <c r="E1400">
        <v>15282</v>
      </c>
      <c r="F1400">
        <v>20</v>
      </c>
      <c r="G1400">
        <v>55</v>
      </c>
      <c r="H1400" t="b">
        <v>0</v>
      </c>
      <c r="I1400">
        <f t="shared" si="42"/>
        <v>0</v>
      </c>
      <c r="J1400" t="str">
        <f t="shared" si="43"/>
        <v>451-600 (Fair)</v>
      </c>
      <c r="K1400" s="1"/>
    </row>
    <row r="1401" spans="1:11" x14ac:dyDescent="0.35">
      <c r="A1401" t="s">
        <v>1248</v>
      </c>
      <c r="B1401" t="s">
        <v>1249</v>
      </c>
      <c r="C1401">
        <v>33101</v>
      </c>
      <c r="D1401">
        <v>392</v>
      </c>
      <c r="E1401">
        <v>15261</v>
      </c>
      <c r="F1401">
        <v>8</v>
      </c>
      <c r="G1401">
        <v>20</v>
      </c>
      <c r="H1401" t="b">
        <v>0</v>
      </c>
      <c r="I1401">
        <f t="shared" si="42"/>
        <v>0</v>
      </c>
      <c r="J1401" t="str">
        <f t="shared" si="43"/>
        <v>300-450 (Poor)</v>
      </c>
      <c r="K1401" s="1"/>
    </row>
    <row r="1402" spans="1:11" x14ac:dyDescent="0.35">
      <c r="A1402" t="s">
        <v>2219</v>
      </c>
      <c r="B1402" t="s">
        <v>2220</v>
      </c>
      <c r="C1402">
        <v>78368</v>
      </c>
      <c r="D1402">
        <v>839</v>
      </c>
      <c r="E1402">
        <v>15251</v>
      </c>
      <c r="F1402">
        <v>6</v>
      </c>
      <c r="G1402">
        <v>85</v>
      </c>
      <c r="H1402" t="b">
        <v>1</v>
      </c>
      <c r="I1402">
        <f t="shared" si="42"/>
        <v>1</v>
      </c>
      <c r="J1402" t="str">
        <f t="shared" si="43"/>
        <v>751-850 (Excellent)</v>
      </c>
      <c r="K1402" s="1"/>
    </row>
    <row r="1403" spans="1:11" x14ac:dyDescent="0.35">
      <c r="A1403" t="s">
        <v>1455</v>
      </c>
      <c r="B1403" t="s">
        <v>1456</v>
      </c>
      <c r="C1403">
        <v>118555</v>
      </c>
      <c r="D1403">
        <v>841</v>
      </c>
      <c r="E1403">
        <v>15221</v>
      </c>
      <c r="F1403">
        <v>12</v>
      </c>
      <c r="G1403">
        <v>95</v>
      </c>
      <c r="H1403" t="b">
        <v>1</v>
      </c>
      <c r="I1403">
        <f t="shared" si="42"/>
        <v>1</v>
      </c>
      <c r="J1403" t="str">
        <f t="shared" si="43"/>
        <v>751-850 (Excellent)</v>
      </c>
      <c r="K1403" s="1"/>
    </row>
    <row r="1404" spans="1:11" x14ac:dyDescent="0.35">
      <c r="A1404" t="s">
        <v>2998</v>
      </c>
      <c r="B1404" t="s">
        <v>2999</v>
      </c>
      <c r="C1404">
        <v>144154</v>
      </c>
      <c r="D1404">
        <v>488</v>
      </c>
      <c r="E1404">
        <v>15220</v>
      </c>
      <c r="F1404">
        <v>6</v>
      </c>
      <c r="G1404">
        <v>50</v>
      </c>
      <c r="H1404" t="b">
        <v>0</v>
      </c>
      <c r="I1404">
        <f t="shared" si="42"/>
        <v>0</v>
      </c>
      <c r="J1404" t="str">
        <f t="shared" si="43"/>
        <v>451-600 (Fair)</v>
      </c>
      <c r="K1404" s="1"/>
    </row>
    <row r="1405" spans="1:11" x14ac:dyDescent="0.35">
      <c r="A1405" t="s">
        <v>2933</v>
      </c>
      <c r="B1405" t="s">
        <v>2934</v>
      </c>
      <c r="C1405">
        <v>83841</v>
      </c>
      <c r="D1405">
        <v>551</v>
      </c>
      <c r="E1405">
        <v>15218</v>
      </c>
      <c r="F1405">
        <v>12</v>
      </c>
      <c r="G1405">
        <v>50</v>
      </c>
      <c r="H1405" t="b">
        <v>0</v>
      </c>
      <c r="I1405">
        <f t="shared" si="42"/>
        <v>0</v>
      </c>
      <c r="J1405" t="str">
        <f t="shared" si="43"/>
        <v>451-600 (Fair)</v>
      </c>
      <c r="K1405" s="1"/>
    </row>
    <row r="1406" spans="1:11" x14ac:dyDescent="0.35">
      <c r="A1406" t="s">
        <v>643</v>
      </c>
      <c r="B1406" t="s">
        <v>644</v>
      </c>
      <c r="C1406">
        <v>145655</v>
      </c>
      <c r="D1406">
        <v>568</v>
      </c>
      <c r="E1406">
        <v>15138</v>
      </c>
      <c r="F1406">
        <v>2</v>
      </c>
      <c r="G1406">
        <v>45</v>
      </c>
      <c r="H1406" t="b">
        <v>0</v>
      </c>
      <c r="I1406">
        <f t="shared" si="42"/>
        <v>0</v>
      </c>
      <c r="J1406" t="str">
        <f t="shared" si="43"/>
        <v>451-600 (Fair)</v>
      </c>
      <c r="K1406" s="1"/>
    </row>
    <row r="1407" spans="1:11" x14ac:dyDescent="0.35">
      <c r="A1407" t="s">
        <v>2124</v>
      </c>
      <c r="B1407" t="s">
        <v>2125</v>
      </c>
      <c r="C1407">
        <v>117580</v>
      </c>
      <c r="D1407">
        <v>537</v>
      </c>
      <c r="E1407">
        <v>15132</v>
      </c>
      <c r="F1407">
        <v>9</v>
      </c>
      <c r="G1407">
        <v>50</v>
      </c>
      <c r="H1407" t="b">
        <v>0</v>
      </c>
      <c r="I1407">
        <f t="shared" si="42"/>
        <v>0</v>
      </c>
      <c r="J1407" t="str">
        <f t="shared" si="43"/>
        <v>451-600 (Fair)</v>
      </c>
      <c r="K1407" s="1"/>
    </row>
    <row r="1408" spans="1:11" x14ac:dyDescent="0.35">
      <c r="A1408" t="s">
        <v>693</v>
      </c>
      <c r="B1408" t="s">
        <v>694</v>
      </c>
      <c r="C1408">
        <v>37944</v>
      </c>
      <c r="D1408">
        <v>662</v>
      </c>
      <c r="E1408">
        <v>15071</v>
      </c>
      <c r="F1408">
        <v>11</v>
      </c>
      <c r="G1408">
        <v>45</v>
      </c>
      <c r="H1408" t="b">
        <v>0</v>
      </c>
      <c r="I1408">
        <f t="shared" si="42"/>
        <v>0</v>
      </c>
      <c r="J1408" t="str">
        <f t="shared" si="43"/>
        <v>601-750 (Good)</v>
      </c>
      <c r="K1408" s="1"/>
    </row>
    <row r="1409" spans="1:11" x14ac:dyDescent="0.35">
      <c r="A1409" t="s">
        <v>1459</v>
      </c>
      <c r="B1409" t="s">
        <v>1460</v>
      </c>
      <c r="C1409">
        <v>97000</v>
      </c>
      <c r="D1409">
        <v>734</v>
      </c>
      <c r="E1409">
        <v>15042</v>
      </c>
      <c r="F1409">
        <v>32</v>
      </c>
      <c r="G1409">
        <v>75</v>
      </c>
      <c r="H1409" t="b">
        <v>1</v>
      </c>
      <c r="I1409">
        <f t="shared" si="42"/>
        <v>1</v>
      </c>
      <c r="J1409" t="str">
        <f t="shared" si="43"/>
        <v>601-750 (Good)</v>
      </c>
      <c r="K1409" s="1"/>
    </row>
    <row r="1410" spans="1:11" x14ac:dyDescent="0.35">
      <c r="A1410" t="s">
        <v>65</v>
      </c>
      <c r="B1410" t="s">
        <v>66</v>
      </c>
      <c r="C1410">
        <v>33478</v>
      </c>
      <c r="D1410">
        <v>792</v>
      </c>
      <c r="E1410">
        <v>15008</v>
      </c>
      <c r="F1410">
        <v>25</v>
      </c>
      <c r="G1410">
        <v>60</v>
      </c>
      <c r="H1410" t="b">
        <v>1</v>
      </c>
      <c r="I1410">
        <f t="shared" si="42"/>
        <v>1</v>
      </c>
      <c r="J1410" t="str">
        <f t="shared" si="43"/>
        <v>751-850 (Excellent)</v>
      </c>
      <c r="K1410" s="1"/>
    </row>
    <row r="1411" spans="1:11" x14ac:dyDescent="0.35">
      <c r="A1411" t="s">
        <v>3128</v>
      </c>
      <c r="B1411" t="s">
        <v>3129</v>
      </c>
      <c r="C1411">
        <v>52280</v>
      </c>
      <c r="D1411">
        <v>791</v>
      </c>
      <c r="E1411">
        <v>14995</v>
      </c>
      <c r="F1411">
        <v>12</v>
      </c>
      <c r="G1411">
        <v>75</v>
      </c>
      <c r="H1411" t="b">
        <v>1</v>
      </c>
      <c r="I1411">
        <f t="shared" si="42"/>
        <v>1</v>
      </c>
      <c r="J1411" t="str">
        <f t="shared" si="43"/>
        <v>751-850 (Excellent)</v>
      </c>
      <c r="K1411" s="1"/>
    </row>
    <row r="1412" spans="1:11" x14ac:dyDescent="0.35">
      <c r="A1412" t="s">
        <v>3762</v>
      </c>
      <c r="B1412" t="s">
        <v>2942</v>
      </c>
      <c r="C1412">
        <v>34082</v>
      </c>
      <c r="D1412">
        <v>538</v>
      </c>
      <c r="E1412">
        <v>14981</v>
      </c>
      <c r="F1412">
        <v>30</v>
      </c>
      <c r="G1412">
        <v>25</v>
      </c>
      <c r="H1412" t="b">
        <v>0</v>
      </c>
      <c r="I1412">
        <f t="shared" ref="I1412:I1475" si="44">--H1412</f>
        <v>0</v>
      </c>
      <c r="J1412" t="str">
        <f t="shared" ref="J1412:J1475" si="45">IF(D1412&gt;750, "751-850 (Excellent)", IF(D1412&gt;600, "601-750 (Good)", IF(D1412&gt;450, "451-600 (Fair)", "300-450 (Poor)")))</f>
        <v>451-600 (Fair)</v>
      </c>
      <c r="K1412" s="1"/>
    </row>
    <row r="1413" spans="1:11" x14ac:dyDescent="0.35">
      <c r="A1413" t="s">
        <v>2698</v>
      </c>
      <c r="B1413" t="s">
        <v>680</v>
      </c>
      <c r="C1413">
        <v>41542</v>
      </c>
      <c r="D1413">
        <v>537</v>
      </c>
      <c r="E1413">
        <v>14973</v>
      </c>
      <c r="F1413">
        <v>19</v>
      </c>
      <c r="G1413">
        <v>30</v>
      </c>
      <c r="H1413" t="b">
        <v>0</v>
      </c>
      <c r="I1413">
        <f t="shared" si="44"/>
        <v>0</v>
      </c>
      <c r="J1413" t="str">
        <f t="shared" si="45"/>
        <v>451-600 (Fair)</v>
      </c>
      <c r="K1413" s="1"/>
    </row>
    <row r="1414" spans="1:11" x14ac:dyDescent="0.35">
      <c r="A1414" t="s">
        <v>2005</v>
      </c>
      <c r="B1414" t="s">
        <v>2006</v>
      </c>
      <c r="C1414">
        <v>69529</v>
      </c>
      <c r="D1414">
        <v>571</v>
      </c>
      <c r="E1414">
        <v>14963</v>
      </c>
      <c r="F1414">
        <v>0</v>
      </c>
      <c r="G1414">
        <v>30</v>
      </c>
      <c r="H1414" t="b">
        <v>0</v>
      </c>
      <c r="I1414">
        <f t="shared" si="44"/>
        <v>0</v>
      </c>
      <c r="J1414" t="str">
        <f t="shared" si="45"/>
        <v>451-600 (Fair)</v>
      </c>
      <c r="K1414" s="1"/>
    </row>
    <row r="1415" spans="1:11" x14ac:dyDescent="0.35">
      <c r="A1415" t="s">
        <v>2114</v>
      </c>
      <c r="B1415" t="s">
        <v>2115</v>
      </c>
      <c r="C1415">
        <v>61963</v>
      </c>
      <c r="D1415">
        <v>366</v>
      </c>
      <c r="E1415">
        <v>14887</v>
      </c>
      <c r="F1415">
        <v>38</v>
      </c>
      <c r="G1415">
        <v>45</v>
      </c>
      <c r="H1415" t="b">
        <v>0</v>
      </c>
      <c r="I1415">
        <f t="shared" si="44"/>
        <v>0</v>
      </c>
      <c r="J1415" t="str">
        <f t="shared" si="45"/>
        <v>300-450 (Poor)</v>
      </c>
      <c r="K1415" s="1"/>
    </row>
    <row r="1416" spans="1:11" x14ac:dyDescent="0.35">
      <c r="A1416" t="s">
        <v>1921</v>
      </c>
      <c r="B1416" t="s">
        <v>1922</v>
      </c>
      <c r="C1416">
        <v>111439</v>
      </c>
      <c r="D1416">
        <v>549</v>
      </c>
      <c r="E1416">
        <v>14870</v>
      </c>
      <c r="F1416">
        <v>10</v>
      </c>
      <c r="G1416">
        <v>55</v>
      </c>
      <c r="H1416" t="b">
        <v>0</v>
      </c>
      <c r="I1416">
        <f t="shared" si="44"/>
        <v>0</v>
      </c>
      <c r="J1416" t="str">
        <f t="shared" si="45"/>
        <v>451-600 (Fair)</v>
      </c>
      <c r="K1416" s="1"/>
    </row>
    <row r="1417" spans="1:11" x14ac:dyDescent="0.35">
      <c r="A1417" t="s">
        <v>31</v>
      </c>
      <c r="B1417" t="s">
        <v>32</v>
      </c>
      <c r="C1417">
        <v>126530</v>
      </c>
      <c r="D1417">
        <v>367</v>
      </c>
      <c r="E1417">
        <v>14826</v>
      </c>
      <c r="F1417">
        <v>36</v>
      </c>
      <c r="G1417">
        <v>55</v>
      </c>
      <c r="H1417" t="b">
        <v>0</v>
      </c>
      <c r="I1417">
        <f t="shared" si="44"/>
        <v>0</v>
      </c>
      <c r="J1417" t="str">
        <f t="shared" si="45"/>
        <v>300-450 (Poor)</v>
      </c>
      <c r="K1417" s="1"/>
    </row>
    <row r="1418" spans="1:11" x14ac:dyDescent="0.35">
      <c r="A1418" t="s">
        <v>1033</v>
      </c>
      <c r="B1418" t="s">
        <v>1034</v>
      </c>
      <c r="C1418">
        <v>74942</v>
      </c>
      <c r="D1418">
        <v>381</v>
      </c>
      <c r="E1418">
        <v>14800</v>
      </c>
      <c r="F1418">
        <v>10</v>
      </c>
      <c r="G1418">
        <v>45</v>
      </c>
      <c r="H1418" t="b">
        <v>0</v>
      </c>
      <c r="I1418">
        <f t="shared" si="44"/>
        <v>0</v>
      </c>
      <c r="J1418" t="str">
        <f t="shared" si="45"/>
        <v>300-450 (Poor)</v>
      </c>
      <c r="K1418" s="1"/>
    </row>
    <row r="1419" spans="1:11" x14ac:dyDescent="0.35">
      <c r="A1419" t="s">
        <v>1445</v>
      </c>
      <c r="B1419" t="s">
        <v>1446</v>
      </c>
      <c r="C1419">
        <v>115813</v>
      </c>
      <c r="D1419">
        <v>428</v>
      </c>
      <c r="E1419">
        <v>14752</v>
      </c>
      <c r="F1419">
        <v>8</v>
      </c>
      <c r="G1419">
        <v>50</v>
      </c>
      <c r="H1419" t="b">
        <v>0</v>
      </c>
      <c r="I1419">
        <f t="shared" si="44"/>
        <v>0</v>
      </c>
      <c r="J1419" t="str">
        <f t="shared" si="45"/>
        <v>300-450 (Poor)</v>
      </c>
      <c r="K1419" s="1"/>
    </row>
    <row r="1420" spans="1:11" x14ac:dyDescent="0.35">
      <c r="A1420" t="s">
        <v>2824</v>
      </c>
      <c r="B1420" t="s">
        <v>2825</v>
      </c>
      <c r="C1420">
        <v>139408</v>
      </c>
      <c r="D1420">
        <v>464</v>
      </c>
      <c r="E1420">
        <v>14721</v>
      </c>
      <c r="F1420">
        <v>35</v>
      </c>
      <c r="G1420">
        <v>55</v>
      </c>
      <c r="H1420" t="b">
        <v>0</v>
      </c>
      <c r="I1420">
        <f t="shared" si="44"/>
        <v>0</v>
      </c>
      <c r="J1420" t="str">
        <f t="shared" si="45"/>
        <v>451-600 (Fair)</v>
      </c>
      <c r="K1420" s="1"/>
    </row>
    <row r="1421" spans="1:11" x14ac:dyDescent="0.35">
      <c r="A1421" t="s">
        <v>3372</v>
      </c>
      <c r="B1421" t="s">
        <v>3373</v>
      </c>
      <c r="C1421">
        <v>149806</v>
      </c>
      <c r="D1421">
        <v>760</v>
      </c>
      <c r="E1421">
        <v>14702</v>
      </c>
      <c r="F1421">
        <v>5</v>
      </c>
      <c r="G1421">
        <v>90</v>
      </c>
      <c r="H1421" t="b">
        <v>1</v>
      </c>
      <c r="I1421">
        <f t="shared" si="44"/>
        <v>1</v>
      </c>
      <c r="J1421" t="str">
        <f t="shared" si="45"/>
        <v>751-850 (Excellent)</v>
      </c>
      <c r="K1421" s="1"/>
    </row>
    <row r="1422" spans="1:11" x14ac:dyDescent="0.35">
      <c r="A1422" t="s">
        <v>3608</v>
      </c>
      <c r="B1422" t="s">
        <v>3609</v>
      </c>
      <c r="C1422">
        <v>114109</v>
      </c>
      <c r="D1422">
        <v>370</v>
      </c>
      <c r="E1422">
        <v>14654</v>
      </c>
      <c r="F1422">
        <v>0</v>
      </c>
      <c r="G1422">
        <v>40</v>
      </c>
      <c r="H1422" t="b">
        <v>0</v>
      </c>
      <c r="I1422">
        <f t="shared" si="44"/>
        <v>0</v>
      </c>
      <c r="J1422" t="str">
        <f t="shared" si="45"/>
        <v>300-450 (Poor)</v>
      </c>
      <c r="K1422" s="1"/>
    </row>
    <row r="1423" spans="1:11" x14ac:dyDescent="0.35">
      <c r="A1423" t="s">
        <v>2627</v>
      </c>
      <c r="B1423" t="s">
        <v>2628</v>
      </c>
      <c r="C1423">
        <v>130022</v>
      </c>
      <c r="D1423">
        <v>385</v>
      </c>
      <c r="E1423">
        <v>14602</v>
      </c>
      <c r="F1423">
        <v>33</v>
      </c>
      <c r="G1423">
        <v>55</v>
      </c>
      <c r="H1423" t="b">
        <v>0</v>
      </c>
      <c r="I1423">
        <f t="shared" si="44"/>
        <v>0</v>
      </c>
      <c r="J1423" t="str">
        <f t="shared" si="45"/>
        <v>300-450 (Poor)</v>
      </c>
      <c r="K1423" s="1"/>
    </row>
    <row r="1424" spans="1:11" x14ac:dyDescent="0.35">
      <c r="A1424" t="s">
        <v>1963</v>
      </c>
      <c r="B1424" t="s">
        <v>1964</v>
      </c>
      <c r="C1424">
        <v>51465</v>
      </c>
      <c r="D1424">
        <v>427</v>
      </c>
      <c r="E1424">
        <v>14596</v>
      </c>
      <c r="F1424">
        <v>7</v>
      </c>
      <c r="G1424">
        <v>35</v>
      </c>
      <c r="H1424" t="b">
        <v>0</v>
      </c>
      <c r="I1424">
        <f t="shared" si="44"/>
        <v>0</v>
      </c>
      <c r="J1424" t="str">
        <f t="shared" si="45"/>
        <v>300-450 (Poor)</v>
      </c>
      <c r="K1424" s="1"/>
    </row>
    <row r="1425" spans="1:11" x14ac:dyDescent="0.35">
      <c r="A1425" t="s">
        <v>1782</v>
      </c>
      <c r="B1425" t="s">
        <v>1783</v>
      </c>
      <c r="C1425">
        <v>147677</v>
      </c>
      <c r="D1425">
        <v>337</v>
      </c>
      <c r="E1425">
        <v>14579</v>
      </c>
      <c r="F1425">
        <v>14</v>
      </c>
      <c r="G1425">
        <v>60</v>
      </c>
      <c r="H1425" t="b">
        <v>1</v>
      </c>
      <c r="I1425">
        <f t="shared" si="44"/>
        <v>1</v>
      </c>
      <c r="J1425" t="str">
        <f t="shared" si="45"/>
        <v>300-450 (Poor)</v>
      </c>
      <c r="K1425" s="1"/>
    </row>
    <row r="1426" spans="1:11" x14ac:dyDescent="0.35">
      <c r="A1426" t="s">
        <v>604</v>
      </c>
      <c r="B1426" t="s">
        <v>605</v>
      </c>
      <c r="C1426">
        <v>39305</v>
      </c>
      <c r="D1426">
        <v>511</v>
      </c>
      <c r="E1426">
        <v>14562</v>
      </c>
      <c r="F1426">
        <v>3</v>
      </c>
      <c r="G1426">
        <v>20</v>
      </c>
      <c r="H1426" t="b">
        <v>0</v>
      </c>
      <c r="I1426">
        <f t="shared" si="44"/>
        <v>0</v>
      </c>
      <c r="J1426" t="str">
        <f t="shared" si="45"/>
        <v>451-600 (Fair)</v>
      </c>
      <c r="K1426" s="1"/>
    </row>
    <row r="1427" spans="1:11" x14ac:dyDescent="0.35">
      <c r="A1427" t="s">
        <v>1338</v>
      </c>
      <c r="B1427" t="s">
        <v>1339</v>
      </c>
      <c r="C1427">
        <v>98146</v>
      </c>
      <c r="D1427">
        <v>429</v>
      </c>
      <c r="E1427">
        <v>14510</v>
      </c>
      <c r="F1427">
        <v>9</v>
      </c>
      <c r="G1427">
        <v>45</v>
      </c>
      <c r="H1427" t="b">
        <v>0</v>
      </c>
      <c r="I1427">
        <f t="shared" si="44"/>
        <v>0</v>
      </c>
      <c r="J1427" t="str">
        <f t="shared" si="45"/>
        <v>300-450 (Poor)</v>
      </c>
      <c r="K1427" s="1"/>
    </row>
    <row r="1428" spans="1:11" x14ac:dyDescent="0.35">
      <c r="A1428" t="s">
        <v>3083</v>
      </c>
      <c r="B1428" t="s">
        <v>3084</v>
      </c>
      <c r="C1428">
        <v>43173</v>
      </c>
      <c r="D1428">
        <v>442</v>
      </c>
      <c r="E1428">
        <v>14488</v>
      </c>
      <c r="F1428">
        <v>25</v>
      </c>
      <c r="G1428">
        <v>30</v>
      </c>
      <c r="H1428" t="b">
        <v>0</v>
      </c>
      <c r="I1428">
        <f t="shared" si="44"/>
        <v>0</v>
      </c>
      <c r="J1428" t="str">
        <f t="shared" si="45"/>
        <v>300-450 (Poor)</v>
      </c>
      <c r="K1428" s="1"/>
    </row>
    <row r="1429" spans="1:11" x14ac:dyDescent="0.35">
      <c r="A1429" t="s">
        <v>1398</v>
      </c>
      <c r="B1429" t="s">
        <v>1399</v>
      </c>
      <c r="C1429">
        <v>102667</v>
      </c>
      <c r="D1429">
        <v>488</v>
      </c>
      <c r="E1429">
        <v>14445</v>
      </c>
      <c r="F1429">
        <v>35</v>
      </c>
      <c r="G1429">
        <v>55</v>
      </c>
      <c r="H1429" t="b">
        <v>0</v>
      </c>
      <c r="I1429">
        <f t="shared" si="44"/>
        <v>0</v>
      </c>
      <c r="J1429" t="str">
        <f t="shared" si="45"/>
        <v>451-600 (Fair)</v>
      </c>
      <c r="K1429" s="1"/>
    </row>
    <row r="1430" spans="1:11" x14ac:dyDescent="0.35">
      <c r="A1430" t="s">
        <v>3369</v>
      </c>
      <c r="B1430" t="s">
        <v>2950</v>
      </c>
      <c r="C1430">
        <v>51567</v>
      </c>
      <c r="D1430">
        <v>344</v>
      </c>
      <c r="E1430">
        <v>14432</v>
      </c>
      <c r="F1430">
        <v>29</v>
      </c>
      <c r="G1430">
        <v>40</v>
      </c>
      <c r="H1430" t="b">
        <v>0</v>
      </c>
      <c r="I1430">
        <f t="shared" si="44"/>
        <v>0</v>
      </c>
      <c r="J1430" t="str">
        <f t="shared" si="45"/>
        <v>300-450 (Poor)</v>
      </c>
      <c r="K1430" s="1"/>
    </row>
    <row r="1431" spans="1:11" x14ac:dyDescent="0.35">
      <c r="A1431" t="s">
        <v>2899</v>
      </c>
      <c r="B1431" t="s">
        <v>2900</v>
      </c>
      <c r="C1431">
        <v>93483</v>
      </c>
      <c r="D1431">
        <v>617</v>
      </c>
      <c r="E1431">
        <v>14426</v>
      </c>
      <c r="F1431">
        <v>17</v>
      </c>
      <c r="G1431">
        <v>65</v>
      </c>
      <c r="H1431" t="b">
        <v>1</v>
      </c>
      <c r="I1431">
        <f t="shared" si="44"/>
        <v>1</v>
      </c>
      <c r="J1431" t="str">
        <f t="shared" si="45"/>
        <v>601-750 (Good)</v>
      </c>
      <c r="K1431" s="1"/>
    </row>
    <row r="1432" spans="1:11" x14ac:dyDescent="0.35">
      <c r="A1432" t="s">
        <v>1127</v>
      </c>
      <c r="B1432" t="s">
        <v>1128</v>
      </c>
      <c r="C1432">
        <v>70404</v>
      </c>
      <c r="D1432">
        <v>516</v>
      </c>
      <c r="E1432">
        <v>14356</v>
      </c>
      <c r="F1432">
        <v>34</v>
      </c>
      <c r="G1432">
        <v>45</v>
      </c>
      <c r="H1432" t="b">
        <v>0</v>
      </c>
      <c r="I1432">
        <f t="shared" si="44"/>
        <v>0</v>
      </c>
      <c r="J1432" t="str">
        <f t="shared" si="45"/>
        <v>451-600 (Fair)</v>
      </c>
      <c r="K1432" s="1"/>
    </row>
    <row r="1433" spans="1:11" x14ac:dyDescent="0.35">
      <c r="A1433" t="s">
        <v>1976</v>
      </c>
      <c r="B1433" t="s">
        <v>1977</v>
      </c>
      <c r="C1433">
        <v>118781</v>
      </c>
      <c r="D1433">
        <v>848</v>
      </c>
      <c r="E1433">
        <v>14353</v>
      </c>
      <c r="F1433">
        <v>4</v>
      </c>
      <c r="G1433">
        <v>85</v>
      </c>
      <c r="H1433" t="b">
        <v>1</v>
      </c>
      <c r="I1433">
        <f t="shared" si="44"/>
        <v>1</v>
      </c>
      <c r="J1433" t="str">
        <f t="shared" si="45"/>
        <v>751-850 (Excellent)</v>
      </c>
      <c r="K1433" s="1"/>
    </row>
    <row r="1434" spans="1:11" x14ac:dyDescent="0.35">
      <c r="A1434" t="s">
        <v>2186</v>
      </c>
      <c r="B1434" t="s">
        <v>2187</v>
      </c>
      <c r="C1434">
        <v>120519</v>
      </c>
      <c r="D1434">
        <v>630</v>
      </c>
      <c r="E1434">
        <v>14353</v>
      </c>
      <c r="F1434">
        <v>5</v>
      </c>
      <c r="G1434">
        <v>65</v>
      </c>
      <c r="H1434" t="b">
        <v>1</v>
      </c>
      <c r="I1434">
        <f t="shared" si="44"/>
        <v>1</v>
      </c>
      <c r="J1434" t="str">
        <f t="shared" si="45"/>
        <v>601-750 (Good)</v>
      </c>
      <c r="K1434" s="1"/>
    </row>
    <row r="1435" spans="1:11" x14ac:dyDescent="0.35">
      <c r="A1435" t="s">
        <v>83</v>
      </c>
      <c r="B1435" t="s">
        <v>84</v>
      </c>
      <c r="C1435">
        <v>88878</v>
      </c>
      <c r="D1435">
        <v>651</v>
      </c>
      <c r="E1435">
        <v>14342</v>
      </c>
      <c r="F1435">
        <v>40</v>
      </c>
      <c r="G1435">
        <v>65</v>
      </c>
      <c r="H1435" t="b">
        <v>1</v>
      </c>
      <c r="I1435">
        <f t="shared" si="44"/>
        <v>1</v>
      </c>
      <c r="J1435" t="str">
        <f t="shared" si="45"/>
        <v>601-750 (Good)</v>
      </c>
      <c r="K1435" s="1"/>
    </row>
    <row r="1436" spans="1:11" x14ac:dyDescent="0.35">
      <c r="A1436" t="s">
        <v>2579</v>
      </c>
      <c r="B1436" t="s">
        <v>2580</v>
      </c>
      <c r="C1436">
        <v>87377</v>
      </c>
      <c r="D1436">
        <v>541</v>
      </c>
      <c r="E1436">
        <v>14324</v>
      </c>
      <c r="F1436">
        <v>27</v>
      </c>
      <c r="G1436">
        <v>50</v>
      </c>
      <c r="H1436" t="b">
        <v>0</v>
      </c>
      <c r="I1436">
        <f t="shared" si="44"/>
        <v>0</v>
      </c>
      <c r="J1436" t="str">
        <f t="shared" si="45"/>
        <v>451-600 (Fair)</v>
      </c>
      <c r="K1436" s="1"/>
    </row>
    <row r="1437" spans="1:11" x14ac:dyDescent="0.35">
      <c r="A1437" t="s">
        <v>647</v>
      </c>
      <c r="B1437" t="s">
        <v>648</v>
      </c>
      <c r="C1437">
        <v>105525</v>
      </c>
      <c r="D1437">
        <v>823</v>
      </c>
      <c r="E1437">
        <v>14316</v>
      </c>
      <c r="F1437">
        <v>9</v>
      </c>
      <c r="G1437">
        <v>90</v>
      </c>
      <c r="H1437" t="b">
        <v>1</v>
      </c>
      <c r="I1437">
        <f t="shared" si="44"/>
        <v>1</v>
      </c>
      <c r="J1437" t="str">
        <f t="shared" si="45"/>
        <v>751-850 (Excellent)</v>
      </c>
      <c r="K1437" s="1"/>
    </row>
    <row r="1438" spans="1:11" x14ac:dyDescent="0.35">
      <c r="A1438" t="s">
        <v>3168</v>
      </c>
      <c r="B1438" t="s">
        <v>3169</v>
      </c>
      <c r="C1438">
        <v>31231</v>
      </c>
      <c r="D1438">
        <v>692</v>
      </c>
      <c r="E1438">
        <v>14313</v>
      </c>
      <c r="F1438">
        <v>34</v>
      </c>
      <c r="G1438">
        <v>50</v>
      </c>
      <c r="H1438" t="b">
        <v>0</v>
      </c>
      <c r="I1438">
        <f t="shared" si="44"/>
        <v>0</v>
      </c>
      <c r="J1438" t="str">
        <f t="shared" si="45"/>
        <v>601-750 (Good)</v>
      </c>
      <c r="K1438" s="1"/>
    </row>
    <row r="1439" spans="1:11" x14ac:dyDescent="0.35">
      <c r="A1439" t="s">
        <v>2248</v>
      </c>
      <c r="B1439" t="s">
        <v>316</v>
      </c>
      <c r="C1439">
        <v>60217</v>
      </c>
      <c r="D1439">
        <v>825</v>
      </c>
      <c r="E1439">
        <v>14305</v>
      </c>
      <c r="F1439">
        <v>25</v>
      </c>
      <c r="G1439">
        <v>85</v>
      </c>
      <c r="H1439" t="b">
        <v>1</v>
      </c>
      <c r="I1439">
        <f t="shared" si="44"/>
        <v>1</v>
      </c>
      <c r="J1439" t="str">
        <f t="shared" si="45"/>
        <v>751-850 (Excellent)</v>
      </c>
      <c r="K1439" s="1"/>
    </row>
    <row r="1440" spans="1:11" x14ac:dyDescent="0.35">
      <c r="A1440" t="s">
        <v>2945</v>
      </c>
      <c r="B1440" t="s">
        <v>2946</v>
      </c>
      <c r="C1440">
        <v>149725</v>
      </c>
      <c r="D1440">
        <v>665</v>
      </c>
      <c r="E1440">
        <v>14304</v>
      </c>
      <c r="F1440">
        <v>9</v>
      </c>
      <c r="G1440">
        <v>70</v>
      </c>
      <c r="H1440" t="b">
        <v>1</v>
      </c>
      <c r="I1440">
        <f t="shared" si="44"/>
        <v>1</v>
      </c>
      <c r="J1440" t="str">
        <f t="shared" si="45"/>
        <v>601-750 (Good)</v>
      </c>
      <c r="K1440" s="1"/>
    </row>
    <row r="1441" spans="1:11" x14ac:dyDescent="0.35">
      <c r="A1441" t="s">
        <v>1330</v>
      </c>
      <c r="B1441" t="s">
        <v>1331</v>
      </c>
      <c r="C1441">
        <v>35817</v>
      </c>
      <c r="D1441">
        <v>364</v>
      </c>
      <c r="E1441">
        <v>14280</v>
      </c>
      <c r="F1441">
        <v>27</v>
      </c>
      <c r="G1441">
        <v>30</v>
      </c>
      <c r="H1441" t="b">
        <v>0</v>
      </c>
      <c r="I1441">
        <f t="shared" si="44"/>
        <v>0</v>
      </c>
      <c r="J1441" t="str">
        <f t="shared" si="45"/>
        <v>300-450 (Poor)</v>
      </c>
      <c r="K1441" s="1"/>
    </row>
    <row r="1442" spans="1:11" x14ac:dyDescent="0.35">
      <c r="A1442" t="s">
        <v>1697</v>
      </c>
      <c r="B1442" t="s">
        <v>1662</v>
      </c>
      <c r="C1442">
        <v>60311</v>
      </c>
      <c r="D1442">
        <v>353</v>
      </c>
      <c r="E1442">
        <v>14274</v>
      </c>
      <c r="F1442">
        <v>15</v>
      </c>
      <c r="G1442">
        <v>45</v>
      </c>
      <c r="H1442" t="b">
        <v>0</v>
      </c>
      <c r="I1442">
        <f t="shared" si="44"/>
        <v>0</v>
      </c>
      <c r="J1442" t="str">
        <f t="shared" si="45"/>
        <v>300-450 (Poor)</v>
      </c>
      <c r="K1442" s="1"/>
    </row>
    <row r="1443" spans="1:11" x14ac:dyDescent="0.35">
      <c r="A1443" t="s">
        <v>3124</v>
      </c>
      <c r="B1443" t="s">
        <v>3125</v>
      </c>
      <c r="C1443">
        <v>133877</v>
      </c>
      <c r="D1443">
        <v>537</v>
      </c>
      <c r="E1443">
        <v>14267</v>
      </c>
      <c r="F1443">
        <v>9</v>
      </c>
      <c r="G1443">
        <v>50</v>
      </c>
      <c r="H1443" t="b">
        <v>0</v>
      </c>
      <c r="I1443">
        <f t="shared" si="44"/>
        <v>0</v>
      </c>
      <c r="J1443" t="str">
        <f t="shared" si="45"/>
        <v>451-600 (Fair)</v>
      </c>
      <c r="K1443" s="1"/>
    </row>
    <row r="1444" spans="1:11" x14ac:dyDescent="0.35">
      <c r="A1444" t="s">
        <v>3272</v>
      </c>
      <c r="B1444" t="s">
        <v>3273</v>
      </c>
      <c r="C1444">
        <v>134708</v>
      </c>
      <c r="D1444">
        <v>584</v>
      </c>
      <c r="E1444">
        <v>14255</v>
      </c>
      <c r="F1444">
        <v>11</v>
      </c>
      <c r="G1444">
        <v>70</v>
      </c>
      <c r="H1444" t="b">
        <v>1</v>
      </c>
      <c r="I1444">
        <f t="shared" si="44"/>
        <v>1</v>
      </c>
      <c r="J1444" t="str">
        <f t="shared" si="45"/>
        <v>451-600 (Fair)</v>
      </c>
      <c r="K1444" s="1"/>
    </row>
    <row r="1445" spans="1:11" x14ac:dyDescent="0.35">
      <c r="A1445" t="s">
        <v>2907</v>
      </c>
      <c r="B1445" t="s">
        <v>2908</v>
      </c>
      <c r="C1445">
        <v>129991</v>
      </c>
      <c r="D1445">
        <v>704</v>
      </c>
      <c r="E1445">
        <v>14246</v>
      </c>
      <c r="F1445">
        <v>5</v>
      </c>
      <c r="G1445">
        <v>75</v>
      </c>
      <c r="H1445" t="b">
        <v>1</v>
      </c>
      <c r="I1445">
        <f t="shared" si="44"/>
        <v>1</v>
      </c>
      <c r="J1445" t="str">
        <f t="shared" si="45"/>
        <v>601-750 (Good)</v>
      </c>
      <c r="K1445" s="1"/>
    </row>
    <row r="1446" spans="1:11" x14ac:dyDescent="0.35">
      <c r="A1446" t="s">
        <v>3352</v>
      </c>
      <c r="B1446" t="s">
        <v>3353</v>
      </c>
      <c r="C1446">
        <v>133089</v>
      </c>
      <c r="D1446">
        <v>760</v>
      </c>
      <c r="E1446">
        <v>14167</v>
      </c>
      <c r="F1446">
        <v>17</v>
      </c>
      <c r="G1446">
        <v>90</v>
      </c>
      <c r="H1446" t="b">
        <v>1</v>
      </c>
      <c r="I1446">
        <f t="shared" si="44"/>
        <v>1</v>
      </c>
      <c r="J1446" t="str">
        <f t="shared" si="45"/>
        <v>751-850 (Excellent)</v>
      </c>
      <c r="K1446" s="1"/>
    </row>
    <row r="1447" spans="1:11" x14ac:dyDescent="0.35">
      <c r="A1447" t="s">
        <v>235</v>
      </c>
      <c r="B1447" t="s">
        <v>236</v>
      </c>
      <c r="C1447">
        <v>125568</v>
      </c>
      <c r="D1447">
        <v>479</v>
      </c>
      <c r="E1447">
        <v>14159</v>
      </c>
      <c r="F1447">
        <v>8</v>
      </c>
      <c r="G1447">
        <v>50</v>
      </c>
      <c r="H1447" t="b">
        <v>0</v>
      </c>
      <c r="I1447">
        <f t="shared" si="44"/>
        <v>0</v>
      </c>
      <c r="J1447" t="str">
        <f t="shared" si="45"/>
        <v>451-600 (Fair)</v>
      </c>
      <c r="K1447" s="1"/>
    </row>
    <row r="1448" spans="1:11" x14ac:dyDescent="0.35">
      <c r="A1448" t="s">
        <v>1509</v>
      </c>
      <c r="B1448" t="s">
        <v>1510</v>
      </c>
      <c r="C1448">
        <v>33201</v>
      </c>
      <c r="D1448">
        <v>834</v>
      </c>
      <c r="E1448">
        <v>14149</v>
      </c>
      <c r="F1448">
        <v>23</v>
      </c>
      <c r="G1448">
        <v>65</v>
      </c>
      <c r="H1448" t="b">
        <v>1</v>
      </c>
      <c r="I1448">
        <f t="shared" si="44"/>
        <v>1</v>
      </c>
      <c r="J1448" t="str">
        <f t="shared" si="45"/>
        <v>751-850 (Excellent)</v>
      </c>
      <c r="K1448" s="1"/>
    </row>
    <row r="1449" spans="1:11" x14ac:dyDescent="0.35">
      <c r="A1449" t="s">
        <v>2914</v>
      </c>
      <c r="B1449" t="s">
        <v>2915</v>
      </c>
      <c r="C1449">
        <v>72176</v>
      </c>
      <c r="D1449">
        <v>773</v>
      </c>
      <c r="E1449">
        <v>14149</v>
      </c>
      <c r="F1449">
        <v>3</v>
      </c>
      <c r="G1449">
        <v>70</v>
      </c>
      <c r="H1449" t="b">
        <v>1</v>
      </c>
      <c r="I1449">
        <f t="shared" si="44"/>
        <v>1</v>
      </c>
      <c r="J1449" t="str">
        <f t="shared" si="45"/>
        <v>751-850 (Excellent)</v>
      </c>
      <c r="K1449" s="1"/>
    </row>
    <row r="1450" spans="1:11" x14ac:dyDescent="0.35">
      <c r="A1450" t="s">
        <v>3618</v>
      </c>
      <c r="B1450" t="s">
        <v>2479</v>
      </c>
      <c r="C1450">
        <v>133126</v>
      </c>
      <c r="D1450">
        <v>429</v>
      </c>
      <c r="E1450">
        <v>14119</v>
      </c>
      <c r="F1450">
        <v>38</v>
      </c>
      <c r="G1450">
        <v>55</v>
      </c>
      <c r="H1450" t="b">
        <v>0</v>
      </c>
      <c r="I1450">
        <f t="shared" si="44"/>
        <v>0</v>
      </c>
      <c r="J1450" t="str">
        <f t="shared" si="45"/>
        <v>300-450 (Poor)</v>
      </c>
      <c r="K1450" s="1"/>
    </row>
    <row r="1451" spans="1:11" x14ac:dyDescent="0.35">
      <c r="A1451" t="s">
        <v>1352</v>
      </c>
      <c r="B1451" t="s">
        <v>1353</v>
      </c>
      <c r="C1451">
        <v>117900</v>
      </c>
      <c r="D1451">
        <v>722</v>
      </c>
      <c r="E1451">
        <v>14104</v>
      </c>
      <c r="F1451">
        <v>24</v>
      </c>
      <c r="G1451">
        <v>80</v>
      </c>
      <c r="H1451" t="b">
        <v>1</v>
      </c>
      <c r="I1451">
        <f t="shared" si="44"/>
        <v>1</v>
      </c>
      <c r="J1451" t="str">
        <f t="shared" si="45"/>
        <v>601-750 (Good)</v>
      </c>
      <c r="K1451" s="1"/>
    </row>
    <row r="1452" spans="1:11" x14ac:dyDescent="0.35">
      <c r="A1452" t="s">
        <v>1123</v>
      </c>
      <c r="B1452" t="s">
        <v>1124</v>
      </c>
      <c r="C1452">
        <v>46704</v>
      </c>
      <c r="D1452">
        <v>539</v>
      </c>
      <c r="E1452">
        <v>14086</v>
      </c>
      <c r="F1452">
        <v>23</v>
      </c>
      <c r="G1452">
        <v>30</v>
      </c>
      <c r="H1452" t="b">
        <v>0</v>
      </c>
      <c r="I1452">
        <f t="shared" si="44"/>
        <v>0</v>
      </c>
      <c r="J1452" t="str">
        <f t="shared" si="45"/>
        <v>451-600 (Fair)</v>
      </c>
      <c r="K1452" s="1"/>
    </row>
    <row r="1453" spans="1:11" x14ac:dyDescent="0.35">
      <c r="A1453" t="s">
        <v>2937</v>
      </c>
      <c r="B1453" t="s">
        <v>2938</v>
      </c>
      <c r="C1453">
        <v>71704</v>
      </c>
      <c r="D1453">
        <v>352</v>
      </c>
      <c r="E1453">
        <v>14068</v>
      </c>
      <c r="F1453">
        <v>13</v>
      </c>
      <c r="G1453">
        <v>45</v>
      </c>
      <c r="H1453" t="b">
        <v>0</v>
      </c>
      <c r="I1453">
        <f t="shared" si="44"/>
        <v>0</v>
      </c>
      <c r="J1453" t="str">
        <f t="shared" si="45"/>
        <v>300-450 (Poor)</v>
      </c>
      <c r="K1453" s="1"/>
    </row>
    <row r="1454" spans="1:11" x14ac:dyDescent="0.35">
      <c r="A1454" t="s">
        <v>227</v>
      </c>
      <c r="B1454" t="s">
        <v>228</v>
      </c>
      <c r="C1454">
        <v>109840</v>
      </c>
      <c r="D1454">
        <v>609</v>
      </c>
      <c r="E1454">
        <v>14055</v>
      </c>
      <c r="F1454">
        <v>24</v>
      </c>
      <c r="G1454">
        <v>70</v>
      </c>
      <c r="H1454" t="b">
        <v>1</v>
      </c>
      <c r="I1454">
        <f t="shared" si="44"/>
        <v>1</v>
      </c>
      <c r="J1454" t="str">
        <f t="shared" si="45"/>
        <v>601-750 (Good)</v>
      </c>
      <c r="K1454" s="1"/>
    </row>
    <row r="1455" spans="1:11" x14ac:dyDescent="0.35">
      <c r="A1455" t="s">
        <v>3658</v>
      </c>
      <c r="B1455" t="s">
        <v>379</v>
      </c>
      <c r="C1455">
        <v>148034</v>
      </c>
      <c r="D1455">
        <v>610</v>
      </c>
      <c r="E1455">
        <v>14031</v>
      </c>
      <c r="F1455">
        <v>30</v>
      </c>
      <c r="G1455">
        <v>75</v>
      </c>
      <c r="H1455" t="b">
        <v>1</v>
      </c>
      <c r="I1455">
        <f t="shared" si="44"/>
        <v>1</v>
      </c>
      <c r="J1455" t="str">
        <f t="shared" si="45"/>
        <v>601-750 (Good)</v>
      </c>
      <c r="K1455" s="1"/>
    </row>
    <row r="1456" spans="1:11" x14ac:dyDescent="0.35">
      <c r="A1456" t="s">
        <v>2153</v>
      </c>
      <c r="B1456" t="s">
        <v>2154</v>
      </c>
      <c r="C1456">
        <v>145385</v>
      </c>
      <c r="D1456">
        <v>468</v>
      </c>
      <c r="E1456">
        <v>14015</v>
      </c>
      <c r="F1456">
        <v>22</v>
      </c>
      <c r="G1456">
        <v>60</v>
      </c>
      <c r="H1456" t="b">
        <v>1</v>
      </c>
      <c r="I1456">
        <f t="shared" si="44"/>
        <v>1</v>
      </c>
      <c r="J1456" t="str">
        <f t="shared" si="45"/>
        <v>451-600 (Fair)</v>
      </c>
      <c r="K1456" s="1"/>
    </row>
    <row r="1457" spans="1:11" x14ac:dyDescent="0.35">
      <c r="A1457" t="s">
        <v>2026</v>
      </c>
      <c r="B1457" t="s">
        <v>2027</v>
      </c>
      <c r="C1457">
        <v>99827</v>
      </c>
      <c r="D1457">
        <v>739</v>
      </c>
      <c r="E1457">
        <v>14003</v>
      </c>
      <c r="F1457">
        <v>30</v>
      </c>
      <c r="G1457">
        <v>75</v>
      </c>
      <c r="H1457" t="b">
        <v>1</v>
      </c>
      <c r="I1457">
        <f t="shared" si="44"/>
        <v>1</v>
      </c>
      <c r="J1457" t="str">
        <f t="shared" si="45"/>
        <v>601-750 (Good)</v>
      </c>
      <c r="K1457" s="1"/>
    </row>
    <row r="1458" spans="1:11" x14ac:dyDescent="0.35">
      <c r="A1458" t="s">
        <v>1230</v>
      </c>
      <c r="B1458" t="s">
        <v>1231</v>
      </c>
      <c r="C1458">
        <v>137031</v>
      </c>
      <c r="D1458">
        <v>640</v>
      </c>
      <c r="E1458">
        <v>13985</v>
      </c>
      <c r="F1458">
        <v>34</v>
      </c>
      <c r="G1458">
        <v>70</v>
      </c>
      <c r="H1458" t="b">
        <v>1</v>
      </c>
      <c r="I1458">
        <f t="shared" si="44"/>
        <v>1</v>
      </c>
      <c r="J1458" t="str">
        <f t="shared" si="45"/>
        <v>601-750 (Good)</v>
      </c>
      <c r="K1458" s="1"/>
    </row>
    <row r="1459" spans="1:11" x14ac:dyDescent="0.35">
      <c r="A1459" t="s">
        <v>1447</v>
      </c>
      <c r="B1459" t="s">
        <v>1448</v>
      </c>
      <c r="C1459">
        <v>72237</v>
      </c>
      <c r="D1459">
        <v>343</v>
      </c>
      <c r="E1459">
        <v>13868</v>
      </c>
      <c r="F1459">
        <v>6</v>
      </c>
      <c r="G1459">
        <v>40</v>
      </c>
      <c r="H1459" t="b">
        <v>0</v>
      </c>
      <c r="I1459">
        <f t="shared" si="44"/>
        <v>0</v>
      </c>
      <c r="J1459" t="str">
        <f t="shared" si="45"/>
        <v>300-450 (Poor)</v>
      </c>
      <c r="K1459" s="1"/>
    </row>
    <row r="1460" spans="1:11" x14ac:dyDescent="0.35">
      <c r="A1460" t="s">
        <v>1408</v>
      </c>
      <c r="B1460" t="s">
        <v>1409</v>
      </c>
      <c r="C1460">
        <v>79695</v>
      </c>
      <c r="D1460">
        <v>584</v>
      </c>
      <c r="E1460">
        <v>13826</v>
      </c>
      <c r="F1460">
        <v>1</v>
      </c>
      <c r="G1460">
        <v>50</v>
      </c>
      <c r="H1460" t="b">
        <v>0</v>
      </c>
      <c r="I1460">
        <f t="shared" si="44"/>
        <v>0</v>
      </c>
      <c r="J1460" t="str">
        <f t="shared" si="45"/>
        <v>451-600 (Fair)</v>
      </c>
      <c r="K1460" s="1"/>
    </row>
    <row r="1461" spans="1:11" x14ac:dyDescent="0.35">
      <c r="A1461" t="s">
        <v>2339</v>
      </c>
      <c r="B1461" t="s">
        <v>2340</v>
      </c>
      <c r="C1461">
        <v>31607</v>
      </c>
      <c r="D1461">
        <v>504</v>
      </c>
      <c r="E1461">
        <v>13826</v>
      </c>
      <c r="F1461">
        <v>16</v>
      </c>
      <c r="G1461">
        <v>25</v>
      </c>
      <c r="H1461" t="b">
        <v>0</v>
      </c>
      <c r="I1461">
        <f t="shared" si="44"/>
        <v>0</v>
      </c>
      <c r="J1461" t="str">
        <f t="shared" si="45"/>
        <v>451-600 (Fair)</v>
      </c>
      <c r="K1461" s="1"/>
    </row>
    <row r="1462" spans="1:11" x14ac:dyDescent="0.35">
      <c r="A1462" t="s">
        <v>667</v>
      </c>
      <c r="B1462" t="s">
        <v>668</v>
      </c>
      <c r="C1462">
        <v>116374</v>
      </c>
      <c r="D1462">
        <v>805</v>
      </c>
      <c r="E1462">
        <v>13807</v>
      </c>
      <c r="F1462">
        <v>34</v>
      </c>
      <c r="G1462">
        <v>95</v>
      </c>
      <c r="H1462" t="b">
        <v>1</v>
      </c>
      <c r="I1462">
        <f t="shared" si="44"/>
        <v>1</v>
      </c>
      <c r="J1462" t="str">
        <f t="shared" si="45"/>
        <v>751-850 (Excellent)</v>
      </c>
      <c r="K1462" s="1"/>
    </row>
    <row r="1463" spans="1:11" x14ac:dyDescent="0.35">
      <c r="A1463" t="s">
        <v>3853</v>
      </c>
      <c r="B1463" t="s">
        <v>3854</v>
      </c>
      <c r="C1463">
        <v>89186</v>
      </c>
      <c r="D1463">
        <v>441</v>
      </c>
      <c r="E1463">
        <v>13778</v>
      </c>
      <c r="F1463">
        <v>20</v>
      </c>
      <c r="G1463">
        <v>50</v>
      </c>
      <c r="H1463" t="b">
        <v>0</v>
      </c>
      <c r="I1463">
        <f t="shared" si="44"/>
        <v>0</v>
      </c>
      <c r="J1463" t="str">
        <f t="shared" si="45"/>
        <v>300-450 (Poor)</v>
      </c>
      <c r="K1463" s="1"/>
    </row>
    <row r="1464" spans="1:11" x14ac:dyDescent="0.35">
      <c r="A1464" t="s">
        <v>1882</v>
      </c>
      <c r="B1464" t="s">
        <v>1883</v>
      </c>
      <c r="C1464">
        <v>139433</v>
      </c>
      <c r="D1464">
        <v>466</v>
      </c>
      <c r="E1464">
        <v>13728</v>
      </c>
      <c r="F1464">
        <v>27</v>
      </c>
      <c r="G1464">
        <v>60</v>
      </c>
      <c r="H1464" t="b">
        <v>1</v>
      </c>
      <c r="I1464">
        <f t="shared" si="44"/>
        <v>1</v>
      </c>
      <c r="J1464" t="str">
        <f t="shared" si="45"/>
        <v>451-600 (Fair)</v>
      </c>
      <c r="K1464" s="1"/>
    </row>
    <row r="1465" spans="1:11" x14ac:dyDescent="0.35">
      <c r="A1465" t="s">
        <v>2543</v>
      </c>
      <c r="B1465" t="s">
        <v>2544</v>
      </c>
      <c r="C1465">
        <v>51747</v>
      </c>
      <c r="D1465">
        <v>584</v>
      </c>
      <c r="E1465">
        <v>13725</v>
      </c>
      <c r="F1465">
        <v>39</v>
      </c>
      <c r="G1465">
        <v>55</v>
      </c>
      <c r="H1465" t="b">
        <v>0</v>
      </c>
      <c r="I1465">
        <f t="shared" si="44"/>
        <v>0</v>
      </c>
      <c r="J1465" t="str">
        <f t="shared" si="45"/>
        <v>451-600 (Fair)</v>
      </c>
      <c r="K1465" s="1"/>
    </row>
    <row r="1466" spans="1:11" x14ac:dyDescent="0.35">
      <c r="A1466" t="s">
        <v>2190</v>
      </c>
      <c r="B1466" t="s">
        <v>2191</v>
      </c>
      <c r="C1466">
        <v>114659</v>
      </c>
      <c r="D1466">
        <v>604</v>
      </c>
      <c r="E1466">
        <v>13702</v>
      </c>
      <c r="F1466">
        <v>34</v>
      </c>
      <c r="G1466">
        <v>70</v>
      </c>
      <c r="H1466" t="b">
        <v>1</v>
      </c>
      <c r="I1466">
        <f t="shared" si="44"/>
        <v>1</v>
      </c>
      <c r="J1466" t="str">
        <f t="shared" si="45"/>
        <v>601-750 (Good)</v>
      </c>
      <c r="K1466" s="1"/>
    </row>
    <row r="1467" spans="1:11" x14ac:dyDescent="0.35">
      <c r="A1467" t="s">
        <v>3361</v>
      </c>
      <c r="B1467" t="s">
        <v>3362</v>
      </c>
      <c r="C1467">
        <v>95771</v>
      </c>
      <c r="D1467">
        <v>792</v>
      </c>
      <c r="E1467">
        <v>13675</v>
      </c>
      <c r="F1467">
        <v>11</v>
      </c>
      <c r="G1467">
        <v>85</v>
      </c>
      <c r="H1467" t="b">
        <v>1</v>
      </c>
      <c r="I1467">
        <f t="shared" si="44"/>
        <v>1</v>
      </c>
      <c r="J1467" t="str">
        <f t="shared" si="45"/>
        <v>751-850 (Excellent)</v>
      </c>
      <c r="K1467" s="1"/>
    </row>
    <row r="1468" spans="1:11" x14ac:dyDescent="0.35">
      <c r="A1468" t="s">
        <v>2645</v>
      </c>
      <c r="B1468" t="s">
        <v>2646</v>
      </c>
      <c r="C1468">
        <v>106720</v>
      </c>
      <c r="D1468">
        <v>823</v>
      </c>
      <c r="E1468">
        <v>13650</v>
      </c>
      <c r="F1468">
        <v>10</v>
      </c>
      <c r="G1468">
        <v>95</v>
      </c>
      <c r="H1468" t="b">
        <v>1</v>
      </c>
      <c r="I1468">
        <f t="shared" si="44"/>
        <v>1</v>
      </c>
      <c r="J1468" t="str">
        <f t="shared" si="45"/>
        <v>751-850 (Excellent)</v>
      </c>
      <c r="K1468" s="1"/>
    </row>
    <row r="1469" spans="1:11" x14ac:dyDescent="0.35">
      <c r="A1469" t="s">
        <v>1685</v>
      </c>
      <c r="B1469" t="s">
        <v>1686</v>
      </c>
      <c r="C1469">
        <v>71904</v>
      </c>
      <c r="D1469">
        <v>387</v>
      </c>
      <c r="E1469">
        <v>13610</v>
      </c>
      <c r="F1469">
        <v>39</v>
      </c>
      <c r="G1469">
        <v>45</v>
      </c>
      <c r="H1469" t="b">
        <v>0</v>
      </c>
      <c r="I1469">
        <f t="shared" si="44"/>
        <v>0</v>
      </c>
      <c r="J1469" t="str">
        <f t="shared" si="45"/>
        <v>300-450 (Poor)</v>
      </c>
      <c r="K1469" s="1"/>
    </row>
    <row r="1470" spans="1:11" x14ac:dyDescent="0.35">
      <c r="A1470" t="s">
        <v>430</v>
      </c>
      <c r="B1470" t="s">
        <v>431</v>
      </c>
      <c r="C1470">
        <v>124329</v>
      </c>
      <c r="D1470">
        <v>795</v>
      </c>
      <c r="E1470">
        <v>13600</v>
      </c>
      <c r="F1470">
        <v>15</v>
      </c>
      <c r="G1470">
        <v>90</v>
      </c>
      <c r="H1470" t="b">
        <v>1</v>
      </c>
      <c r="I1470">
        <f t="shared" si="44"/>
        <v>1</v>
      </c>
      <c r="J1470" t="str">
        <f t="shared" si="45"/>
        <v>751-850 (Excellent)</v>
      </c>
      <c r="K1470" s="1"/>
    </row>
    <row r="1471" spans="1:11" x14ac:dyDescent="0.35">
      <c r="A1471" t="s">
        <v>3503</v>
      </c>
      <c r="B1471" t="s">
        <v>3504</v>
      </c>
      <c r="C1471">
        <v>45220</v>
      </c>
      <c r="D1471">
        <v>557</v>
      </c>
      <c r="E1471">
        <v>13585</v>
      </c>
      <c r="F1471">
        <v>17</v>
      </c>
      <c r="G1471">
        <v>30</v>
      </c>
      <c r="H1471" t="b">
        <v>0</v>
      </c>
      <c r="I1471">
        <f t="shared" si="44"/>
        <v>0</v>
      </c>
      <c r="J1471" t="str">
        <f t="shared" si="45"/>
        <v>451-600 (Fair)</v>
      </c>
      <c r="K1471" s="1"/>
    </row>
    <row r="1472" spans="1:11" x14ac:dyDescent="0.35">
      <c r="A1472" t="s">
        <v>1342</v>
      </c>
      <c r="B1472" t="s">
        <v>1343</v>
      </c>
      <c r="C1472">
        <v>100575</v>
      </c>
      <c r="D1472">
        <v>541</v>
      </c>
      <c r="E1472">
        <v>13576</v>
      </c>
      <c r="F1472">
        <v>7</v>
      </c>
      <c r="G1472">
        <v>50</v>
      </c>
      <c r="H1472" t="b">
        <v>0</v>
      </c>
      <c r="I1472">
        <f t="shared" si="44"/>
        <v>0</v>
      </c>
      <c r="J1472" t="str">
        <f t="shared" si="45"/>
        <v>451-600 (Fair)</v>
      </c>
      <c r="K1472" s="1"/>
    </row>
    <row r="1473" spans="1:11" x14ac:dyDescent="0.35">
      <c r="A1473" t="s">
        <v>3436</v>
      </c>
      <c r="B1473" t="s">
        <v>3437</v>
      </c>
      <c r="C1473">
        <v>118188</v>
      </c>
      <c r="D1473">
        <v>600</v>
      </c>
      <c r="E1473">
        <v>13561</v>
      </c>
      <c r="F1473">
        <v>1</v>
      </c>
      <c r="G1473">
        <v>55</v>
      </c>
      <c r="H1473" t="b">
        <v>0</v>
      </c>
      <c r="I1473">
        <f t="shared" si="44"/>
        <v>0</v>
      </c>
      <c r="J1473" t="str">
        <f t="shared" si="45"/>
        <v>451-600 (Fair)</v>
      </c>
      <c r="K1473" s="1"/>
    </row>
    <row r="1474" spans="1:11" x14ac:dyDescent="0.35">
      <c r="A1474" t="s">
        <v>2746</v>
      </c>
      <c r="B1474" t="s">
        <v>2747</v>
      </c>
      <c r="C1474">
        <v>36764</v>
      </c>
      <c r="D1474">
        <v>725</v>
      </c>
      <c r="E1474">
        <v>13516</v>
      </c>
      <c r="F1474">
        <v>13</v>
      </c>
      <c r="G1474">
        <v>55</v>
      </c>
      <c r="H1474" t="b">
        <v>0</v>
      </c>
      <c r="I1474">
        <f t="shared" si="44"/>
        <v>0</v>
      </c>
      <c r="J1474" t="str">
        <f t="shared" si="45"/>
        <v>601-750 (Good)</v>
      </c>
      <c r="K1474" s="1"/>
    </row>
    <row r="1475" spans="1:11" x14ac:dyDescent="0.35">
      <c r="A1475" t="s">
        <v>57</v>
      </c>
      <c r="B1475" t="s">
        <v>58</v>
      </c>
      <c r="C1475">
        <v>58657</v>
      </c>
      <c r="D1475">
        <v>716</v>
      </c>
      <c r="E1475">
        <v>13478</v>
      </c>
      <c r="F1475">
        <v>6</v>
      </c>
      <c r="G1475">
        <v>65</v>
      </c>
      <c r="H1475" t="b">
        <v>1</v>
      </c>
      <c r="I1475">
        <f t="shared" si="44"/>
        <v>1</v>
      </c>
      <c r="J1475" t="str">
        <f t="shared" si="45"/>
        <v>601-750 (Good)</v>
      </c>
      <c r="K1475" s="1"/>
    </row>
    <row r="1476" spans="1:11" x14ac:dyDescent="0.35">
      <c r="A1476" t="s">
        <v>1078</v>
      </c>
      <c r="B1476" t="s">
        <v>1079</v>
      </c>
      <c r="C1476">
        <v>64335</v>
      </c>
      <c r="D1476">
        <v>696</v>
      </c>
      <c r="E1476">
        <v>13443</v>
      </c>
      <c r="F1476">
        <v>33</v>
      </c>
      <c r="G1476">
        <v>70</v>
      </c>
      <c r="H1476" t="b">
        <v>1</v>
      </c>
      <c r="I1476">
        <f t="shared" ref="I1476:I1539" si="46">--H1476</f>
        <v>1</v>
      </c>
      <c r="J1476" t="str">
        <f t="shared" ref="J1476:J1539" si="47">IF(D1476&gt;750, "751-850 (Excellent)", IF(D1476&gt;600, "601-750 (Good)", IF(D1476&gt;450, "451-600 (Fair)", "300-450 (Poor)")))</f>
        <v>601-750 (Good)</v>
      </c>
      <c r="K1476" s="1"/>
    </row>
    <row r="1477" spans="1:11" x14ac:dyDescent="0.35">
      <c r="A1477" t="s">
        <v>404</v>
      </c>
      <c r="B1477" t="s">
        <v>405</v>
      </c>
      <c r="C1477">
        <v>128419</v>
      </c>
      <c r="D1477">
        <v>620</v>
      </c>
      <c r="E1477">
        <v>13440</v>
      </c>
      <c r="F1477">
        <v>10</v>
      </c>
      <c r="G1477">
        <v>70</v>
      </c>
      <c r="H1477" t="b">
        <v>1</v>
      </c>
      <c r="I1477">
        <f t="shared" si="46"/>
        <v>1</v>
      </c>
      <c r="J1477" t="str">
        <f t="shared" si="47"/>
        <v>601-750 (Good)</v>
      </c>
      <c r="K1477" s="1"/>
    </row>
    <row r="1478" spans="1:11" x14ac:dyDescent="0.35">
      <c r="A1478" t="s">
        <v>2832</v>
      </c>
      <c r="B1478" t="s">
        <v>2833</v>
      </c>
      <c r="C1478">
        <v>89871</v>
      </c>
      <c r="D1478">
        <v>414</v>
      </c>
      <c r="E1478">
        <v>13438</v>
      </c>
      <c r="F1478">
        <v>37</v>
      </c>
      <c r="G1478">
        <v>50</v>
      </c>
      <c r="H1478" t="b">
        <v>0</v>
      </c>
      <c r="I1478">
        <f t="shared" si="46"/>
        <v>0</v>
      </c>
      <c r="J1478" t="str">
        <f t="shared" si="47"/>
        <v>300-450 (Poor)</v>
      </c>
      <c r="K1478" s="1"/>
    </row>
    <row r="1479" spans="1:11" x14ac:dyDescent="0.35">
      <c r="A1479" t="s">
        <v>2737</v>
      </c>
      <c r="B1479" t="s">
        <v>2738</v>
      </c>
      <c r="C1479">
        <v>129148</v>
      </c>
      <c r="D1479">
        <v>456</v>
      </c>
      <c r="E1479">
        <v>13376</v>
      </c>
      <c r="F1479">
        <v>9</v>
      </c>
      <c r="G1479">
        <v>50</v>
      </c>
      <c r="H1479" t="b">
        <v>0</v>
      </c>
      <c r="I1479">
        <f t="shared" si="46"/>
        <v>0</v>
      </c>
      <c r="J1479" t="str">
        <f t="shared" si="47"/>
        <v>451-600 (Fair)</v>
      </c>
      <c r="K1479" s="1"/>
    </row>
    <row r="1480" spans="1:11" x14ac:dyDescent="0.35">
      <c r="A1480" t="s">
        <v>1384</v>
      </c>
      <c r="B1480" t="s">
        <v>1385</v>
      </c>
      <c r="C1480">
        <v>70538</v>
      </c>
      <c r="D1480">
        <v>367</v>
      </c>
      <c r="E1480">
        <v>13343</v>
      </c>
      <c r="F1480">
        <v>29</v>
      </c>
      <c r="G1480">
        <v>45</v>
      </c>
      <c r="H1480" t="b">
        <v>0</v>
      </c>
      <c r="I1480">
        <f t="shared" si="46"/>
        <v>0</v>
      </c>
      <c r="J1480" t="str">
        <f t="shared" si="47"/>
        <v>300-450 (Poor)</v>
      </c>
      <c r="K1480" s="1"/>
    </row>
    <row r="1481" spans="1:11" x14ac:dyDescent="0.35">
      <c r="A1481" t="s">
        <v>2983</v>
      </c>
      <c r="B1481" t="s">
        <v>1990</v>
      </c>
      <c r="C1481">
        <v>43069</v>
      </c>
      <c r="D1481">
        <v>377</v>
      </c>
      <c r="E1481">
        <v>13333</v>
      </c>
      <c r="F1481">
        <v>11</v>
      </c>
      <c r="G1481">
        <v>30</v>
      </c>
      <c r="H1481" t="b">
        <v>0</v>
      </c>
      <c r="I1481">
        <f t="shared" si="46"/>
        <v>0</v>
      </c>
      <c r="J1481" t="str">
        <f t="shared" si="47"/>
        <v>300-450 (Poor)</v>
      </c>
      <c r="K1481" s="1"/>
    </row>
    <row r="1482" spans="1:11" x14ac:dyDescent="0.35">
      <c r="A1482" t="s">
        <v>1052</v>
      </c>
      <c r="B1482" t="s">
        <v>1053</v>
      </c>
      <c r="C1482">
        <v>149034</v>
      </c>
      <c r="D1482">
        <v>803</v>
      </c>
      <c r="E1482">
        <v>13306</v>
      </c>
      <c r="F1482">
        <v>20</v>
      </c>
      <c r="G1482">
        <v>100</v>
      </c>
      <c r="H1482" t="b">
        <v>1</v>
      </c>
      <c r="I1482">
        <f t="shared" si="46"/>
        <v>1</v>
      </c>
      <c r="J1482" t="str">
        <f t="shared" si="47"/>
        <v>751-850 (Excellent)</v>
      </c>
      <c r="K1482" s="1"/>
    </row>
    <row r="1483" spans="1:11" x14ac:dyDescent="0.35">
      <c r="A1483" t="s">
        <v>1134</v>
      </c>
      <c r="B1483" t="s">
        <v>1135</v>
      </c>
      <c r="C1483">
        <v>142814</v>
      </c>
      <c r="D1483">
        <v>390</v>
      </c>
      <c r="E1483">
        <v>13217</v>
      </c>
      <c r="F1483">
        <v>12</v>
      </c>
      <c r="G1483">
        <v>60</v>
      </c>
      <c r="H1483" t="b">
        <v>1</v>
      </c>
      <c r="I1483">
        <f t="shared" si="46"/>
        <v>1</v>
      </c>
      <c r="J1483" t="str">
        <f t="shared" si="47"/>
        <v>300-450 (Poor)</v>
      </c>
      <c r="K1483" s="1"/>
    </row>
    <row r="1484" spans="1:11" x14ac:dyDescent="0.35">
      <c r="A1484" t="s">
        <v>71</v>
      </c>
      <c r="B1484" t="s">
        <v>72</v>
      </c>
      <c r="C1484">
        <v>123850</v>
      </c>
      <c r="D1484">
        <v>382</v>
      </c>
      <c r="E1484">
        <v>13178</v>
      </c>
      <c r="F1484">
        <v>4</v>
      </c>
      <c r="G1484">
        <v>45</v>
      </c>
      <c r="H1484" t="b">
        <v>0</v>
      </c>
      <c r="I1484">
        <f t="shared" si="46"/>
        <v>0</v>
      </c>
      <c r="J1484" t="str">
        <f t="shared" si="47"/>
        <v>300-450 (Poor)</v>
      </c>
      <c r="K1484" s="1"/>
    </row>
    <row r="1485" spans="1:11" x14ac:dyDescent="0.35">
      <c r="A1485" t="s">
        <v>538</v>
      </c>
      <c r="B1485" t="s">
        <v>539</v>
      </c>
      <c r="C1485">
        <v>64741</v>
      </c>
      <c r="D1485">
        <v>742</v>
      </c>
      <c r="E1485">
        <v>13172</v>
      </c>
      <c r="F1485">
        <v>37</v>
      </c>
      <c r="G1485">
        <v>80</v>
      </c>
      <c r="H1485" t="b">
        <v>1</v>
      </c>
      <c r="I1485">
        <f t="shared" si="46"/>
        <v>1</v>
      </c>
      <c r="J1485" t="str">
        <f t="shared" si="47"/>
        <v>601-750 (Good)</v>
      </c>
      <c r="K1485" s="1"/>
    </row>
    <row r="1486" spans="1:11" x14ac:dyDescent="0.35">
      <c r="A1486" t="s">
        <v>1603</v>
      </c>
      <c r="B1486" t="s">
        <v>1604</v>
      </c>
      <c r="C1486">
        <v>103259</v>
      </c>
      <c r="D1486">
        <v>516</v>
      </c>
      <c r="E1486">
        <v>13129</v>
      </c>
      <c r="F1486">
        <v>5</v>
      </c>
      <c r="G1486">
        <v>50</v>
      </c>
      <c r="H1486" t="b">
        <v>0</v>
      </c>
      <c r="I1486">
        <f t="shared" si="46"/>
        <v>0</v>
      </c>
      <c r="J1486" t="str">
        <f t="shared" si="47"/>
        <v>451-600 (Fair)</v>
      </c>
      <c r="K1486" s="1"/>
    </row>
    <row r="1487" spans="1:11" x14ac:dyDescent="0.35">
      <c r="A1487" t="s">
        <v>2065</v>
      </c>
      <c r="B1487" t="s">
        <v>2066</v>
      </c>
      <c r="C1487">
        <v>50052</v>
      </c>
      <c r="D1487">
        <v>770</v>
      </c>
      <c r="E1487">
        <v>13125</v>
      </c>
      <c r="F1487">
        <v>11</v>
      </c>
      <c r="G1487">
        <v>75</v>
      </c>
      <c r="H1487" t="b">
        <v>1</v>
      </c>
      <c r="I1487">
        <f t="shared" si="46"/>
        <v>1</v>
      </c>
      <c r="J1487" t="str">
        <f t="shared" si="47"/>
        <v>751-850 (Excellent)</v>
      </c>
      <c r="K1487" s="1"/>
    </row>
    <row r="1488" spans="1:11" x14ac:dyDescent="0.35">
      <c r="A1488" t="s">
        <v>3489</v>
      </c>
      <c r="B1488" t="s">
        <v>3490</v>
      </c>
      <c r="C1488">
        <v>115097</v>
      </c>
      <c r="D1488">
        <v>410</v>
      </c>
      <c r="E1488">
        <v>13121</v>
      </c>
      <c r="F1488">
        <v>14</v>
      </c>
      <c r="G1488">
        <v>55</v>
      </c>
      <c r="H1488" t="b">
        <v>0</v>
      </c>
      <c r="I1488">
        <f t="shared" si="46"/>
        <v>0</v>
      </c>
      <c r="J1488" t="str">
        <f t="shared" si="47"/>
        <v>300-450 (Poor)</v>
      </c>
      <c r="K1488" s="1"/>
    </row>
    <row r="1489" spans="1:11" x14ac:dyDescent="0.35">
      <c r="A1489" t="s">
        <v>739</v>
      </c>
      <c r="B1489" t="s">
        <v>740</v>
      </c>
      <c r="C1489">
        <v>102132</v>
      </c>
      <c r="D1489">
        <v>696</v>
      </c>
      <c r="E1489">
        <v>13116</v>
      </c>
      <c r="F1489">
        <v>23</v>
      </c>
      <c r="G1489">
        <v>80</v>
      </c>
      <c r="H1489" t="b">
        <v>1</v>
      </c>
      <c r="I1489">
        <f t="shared" si="46"/>
        <v>1</v>
      </c>
      <c r="J1489" t="str">
        <f t="shared" si="47"/>
        <v>601-750 (Good)</v>
      </c>
      <c r="K1489" s="1"/>
    </row>
    <row r="1490" spans="1:11" x14ac:dyDescent="0.35">
      <c r="A1490" t="s">
        <v>3423</v>
      </c>
      <c r="B1490" t="s">
        <v>3424</v>
      </c>
      <c r="C1490">
        <v>81717</v>
      </c>
      <c r="D1490">
        <v>838</v>
      </c>
      <c r="E1490">
        <v>13108</v>
      </c>
      <c r="F1490">
        <v>8</v>
      </c>
      <c r="G1490">
        <v>85</v>
      </c>
      <c r="H1490" t="b">
        <v>1</v>
      </c>
      <c r="I1490">
        <f t="shared" si="46"/>
        <v>1</v>
      </c>
      <c r="J1490" t="str">
        <f t="shared" si="47"/>
        <v>751-850 (Excellent)</v>
      </c>
      <c r="K1490" s="1"/>
    </row>
    <row r="1491" spans="1:11" x14ac:dyDescent="0.35">
      <c r="A1491" t="s">
        <v>2866</v>
      </c>
      <c r="B1491" t="s">
        <v>2867</v>
      </c>
      <c r="C1491">
        <v>133247</v>
      </c>
      <c r="D1491">
        <v>392</v>
      </c>
      <c r="E1491">
        <v>13095</v>
      </c>
      <c r="F1491">
        <v>16</v>
      </c>
      <c r="G1491">
        <v>60</v>
      </c>
      <c r="H1491" t="b">
        <v>1</v>
      </c>
      <c r="I1491">
        <f t="shared" si="46"/>
        <v>1</v>
      </c>
      <c r="J1491" t="str">
        <f t="shared" si="47"/>
        <v>300-450 (Poor)</v>
      </c>
      <c r="K1491" s="1"/>
    </row>
    <row r="1492" spans="1:11" x14ac:dyDescent="0.35">
      <c r="A1492" t="s">
        <v>2722</v>
      </c>
      <c r="B1492" t="s">
        <v>2723</v>
      </c>
      <c r="C1492">
        <v>101118</v>
      </c>
      <c r="D1492">
        <v>519</v>
      </c>
      <c r="E1492">
        <v>13067</v>
      </c>
      <c r="F1492">
        <v>20</v>
      </c>
      <c r="G1492">
        <v>55</v>
      </c>
      <c r="H1492" t="b">
        <v>0</v>
      </c>
      <c r="I1492">
        <f t="shared" si="46"/>
        <v>0</v>
      </c>
      <c r="J1492" t="str">
        <f t="shared" si="47"/>
        <v>451-600 (Fair)</v>
      </c>
      <c r="K1492" s="1"/>
    </row>
    <row r="1493" spans="1:11" x14ac:dyDescent="0.35">
      <c r="A1493" t="s">
        <v>1991</v>
      </c>
      <c r="B1493" t="s">
        <v>1992</v>
      </c>
      <c r="C1493">
        <v>120520</v>
      </c>
      <c r="D1493">
        <v>768</v>
      </c>
      <c r="E1493">
        <v>12999</v>
      </c>
      <c r="F1493">
        <v>28</v>
      </c>
      <c r="G1493">
        <v>90</v>
      </c>
      <c r="H1493" t="b">
        <v>1</v>
      </c>
      <c r="I1493">
        <f t="shared" si="46"/>
        <v>1</v>
      </c>
      <c r="J1493" t="str">
        <f t="shared" si="47"/>
        <v>751-850 (Excellent)</v>
      </c>
      <c r="K1493" s="1"/>
    </row>
    <row r="1494" spans="1:11" x14ac:dyDescent="0.35">
      <c r="A1494" t="s">
        <v>3154</v>
      </c>
      <c r="B1494" t="s">
        <v>3155</v>
      </c>
      <c r="C1494">
        <v>60433</v>
      </c>
      <c r="D1494">
        <v>645</v>
      </c>
      <c r="E1494">
        <v>12998</v>
      </c>
      <c r="F1494">
        <v>31</v>
      </c>
      <c r="G1494">
        <v>60</v>
      </c>
      <c r="H1494" t="b">
        <v>1</v>
      </c>
      <c r="I1494">
        <f t="shared" si="46"/>
        <v>1</v>
      </c>
      <c r="J1494" t="str">
        <f t="shared" si="47"/>
        <v>601-750 (Good)</v>
      </c>
      <c r="K1494" s="1"/>
    </row>
    <row r="1495" spans="1:11" x14ac:dyDescent="0.35">
      <c r="A1495" t="s">
        <v>1000</v>
      </c>
      <c r="B1495" t="s">
        <v>1001</v>
      </c>
      <c r="C1495">
        <v>69240</v>
      </c>
      <c r="D1495">
        <v>575</v>
      </c>
      <c r="E1495">
        <v>12978</v>
      </c>
      <c r="F1495">
        <v>12</v>
      </c>
      <c r="G1495">
        <v>45</v>
      </c>
      <c r="H1495" t="b">
        <v>0</v>
      </c>
      <c r="I1495">
        <f t="shared" si="46"/>
        <v>0</v>
      </c>
      <c r="J1495" t="str">
        <f t="shared" si="47"/>
        <v>451-600 (Fair)</v>
      </c>
      <c r="K1495" s="1"/>
    </row>
    <row r="1496" spans="1:11" x14ac:dyDescent="0.35">
      <c r="A1496" t="s">
        <v>3536</v>
      </c>
      <c r="B1496" t="s">
        <v>3537</v>
      </c>
      <c r="C1496">
        <v>50253</v>
      </c>
      <c r="D1496">
        <v>849</v>
      </c>
      <c r="E1496">
        <v>12953</v>
      </c>
      <c r="F1496">
        <v>6</v>
      </c>
      <c r="G1496">
        <v>75</v>
      </c>
      <c r="H1496" t="b">
        <v>1</v>
      </c>
      <c r="I1496">
        <f t="shared" si="46"/>
        <v>1</v>
      </c>
      <c r="J1496" t="str">
        <f t="shared" si="47"/>
        <v>751-850 (Excellent)</v>
      </c>
      <c r="K1496" s="1"/>
    </row>
    <row r="1497" spans="1:11" x14ac:dyDescent="0.35">
      <c r="A1497" t="s">
        <v>3704</v>
      </c>
      <c r="B1497" t="s">
        <v>3705</v>
      </c>
      <c r="C1497">
        <v>52838</v>
      </c>
      <c r="D1497">
        <v>745</v>
      </c>
      <c r="E1497">
        <v>12909</v>
      </c>
      <c r="F1497">
        <v>22</v>
      </c>
      <c r="G1497">
        <v>80</v>
      </c>
      <c r="H1497" t="b">
        <v>1</v>
      </c>
      <c r="I1497">
        <f t="shared" si="46"/>
        <v>1</v>
      </c>
      <c r="J1497" t="str">
        <f t="shared" si="47"/>
        <v>601-750 (Good)</v>
      </c>
      <c r="K1497" s="1"/>
    </row>
    <row r="1498" spans="1:11" x14ac:dyDescent="0.35">
      <c r="A1498" t="s">
        <v>3797</v>
      </c>
      <c r="B1498" t="s">
        <v>2973</v>
      </c>
      <c r="C1498">
        <v>46540</v>
      </c>
      <c r="D1498">
        <v>601</v>
      </c>
      <c r="E1498">
        <v>12864</v>
      </c>
      <c r="F1498">
        <v>28</v>
      </c>
      <c r="G1498">
        <v>45</v>
      </c>
      <c r="H1498" t="b">
        <v>0</v>
      </c>
      <c r="I1498">
        <f t="shared" si="46"/>
        <v>0</v>
      </c>
      <c r="J1498" t="str">
        <f t="shared" si="47"/>
        <v>601-750 (Good)</v>
      </c>
      <c r="K1498" s="1"/>
    </row>
    <row r="1499" spans="1:11" x14ac:dyDescent="0.35">
      <c r="A1499" t="s">
        <v>1555</v>
      </c>
      <c r="B1499" t="s">
        <v>1556</v>
      </c>
      <c r="C1499">
        <v>147002</v>
      </c>
      <c r="D1499">
        <v>728</v>
      </c>
      <c r="E1499">
        <v>12820</v>
      </c>
      <c r="F1499">
        <v>26</v>
      </c>
      <c r="G1499">
        <v>85</v>
      </c>
      <c r="H1499" t="b">
        <v>1</v>
      </c>
      <c r="I1499">
        <f t="shared" si="46"/>
        <v>1</v>
      </c>
      <c r="J1499" t="str">
        <f t="shared" si="47"/>
        <v>601-750 (Good)</v>
      </c>
      <c r="K1499" s="1"/>
    </row>
    <row r="1500" spans="1:11" x14ac:dyDescent="0.35">
      <c r="A1500" t="s">
        <v>167</v>
      </c>
      <c r="B1500" t="s">
        <v>168</v>
      </c>
      <c r="C1500">
        <v>105674</v>
      </c>
      <c r="D1500">
        <v>669</v>
      </c>
      <c r="E1500">
        <v>12759</v>
      </c>
      <c r="F1500">
        <v>19</v>
      </c>
      <c r="G1500">
        <v>70</v>
      </c>
      <c r="H1500" t="b">
        <v>1</v>
      </c>
      <c r="I1500">
        <f t="shared" si="46"/>
        <v>1</v>
      </c>
      <c r="J1500" t="str">
        <f t="shared" si="47"/>
        <v>601-750 (Good)</v>
      </c>
      <c r="K1500" s="1"/>
    </row>
    <row r="1501" spans="1:11" x14ac:dyDescent="0.35">
      <c r="A1501" t="s">
        <v>1426</v>
      </c>
      <c r="B1501" t="s">
        <v>1427</v>
      </c>
      <c r="C1501">
        <v>101819</v>
      </c>
      <c r="D1501">
        <v>727</v>
      </c>
      <c r="E1501">
        <v>12755</v>
      </c>
      <c r="F1501">
        <v>31</v>
      </c>
      <c r="G1501">
        <v>80</v>
      </c>
      <c r="H1501" t="b">
        <v>1</v>
      </c>
      <c r="I1501">
        <f t="shared" si="46"/>
        <v>1</v>
      </c>
      <c r="J1501" t="str">
        <f t="shared" si="47"/>
        <v>601-750 (Good)</v>
      </c>
      <c r="K1501" s="1"/>
    </row>
    <row r="1502" spans="1:11" x14ac:dyDescent="0.35">
      <c r="A1502" t="s">
        <v>530</v>
      </c>
      <c r="B1502" t="s">
        <v>531</v>
      </c>
      <c r="C1502">
        <v>116474</v>
      </c>
      <c r="D1502">
        <v>333</v>
      </c>
      <c r="E1502">
        <v>12754</v>
      </c>
      <c r="F1502">
        <v>20</v>
      </c>
      <c r="G1502">
        <v>55</v>
      </c>
      <c r="H1502" t="b">
        <v>0</v>
      </c>
      <c r="I1502">
        <f t="shared" si="46"/>
        <v>0</v>
      </c>
      <c r="J1502" t="str">
        <f t="shared" si="47"/>
        <v>300-450 (Poor)</v>
      </c>
      <c r="K1502" s="1"/>
    </row>
    <row r="1503" spans="1:11" x14ac:dyDescent="0.35">
      <c r="A1503" t="s">
        <v>3559</v>
      </c>
      <c r="B1503" t="s">
        <v>3560</v>
      </c>
      <c r="C1503">
        <v>78566</v>
      </c>
      <c r="D1503">
        <v>665</v>
      </c>
      <c r="E1503">
        <v>12733</v>
      </c>
      <c r="F1503">
        <v>15</v>
      </c>
      <c r="G1503">
        <v>65</v>
      </c>
      <c r="H1503" t="b">
        <v>1</v>
      </c>
      <c r="I1503">
        <f t="shared" si="46"/>
        <v>1</v>
      </c>
      <c r="J1503" t="str">
        <f t="shared" si="47"/>
        <v>601-750 (Good)</v>
      </c>
      <c r="K1503" s="1"/>
    </row>
    <row r="1504" spans="1:11" x14ac:dyDescent="0.35">
      <c r="A1504" t="s">
        <v>3297</v>
      </c>
      <c r="B1504" t="s">
        <v>3298</v>
      </c>
      <c r="C1504">
        <v>130593</v>
      </c>
      <c r="D1504">
        <v>576</v>
      </c>
      <c r="E1504">
        <v>12729</v>
      </c>
      <c r="F1504">
        <v>7</v>
      </c>
      <c r="G1504">
        <v>55</v>
      </c>
      <c r="H1504" t="b">
        <v>0</v>
      </c>
      <c r="I1504">
        <f t="shared" si="46"/>
        <v>0</v>
      </c>
      <c r="J1504" t="str">
        <f t="shared" si="47"/>
        <v>451-600 (Fair)</v>
      </c>
      <c r="K1504" s="1"/>
    </row>
    <row r="1505" spans="1:11" x14ac:dyDescent="0.35">
      <c r="A1505" t="s">
        <v>2633</v>
      </c>
      <c r="B1505" t="s">
        <v>2634</v>
      </c>
      <c r="C1505">
        <v>91669</v>
      </c>
      <c r="D1505">
        <v>596</v>
      </c>
      <c r="E1505">
        <v>12706</v>
      </c>
      <c r="F1505">
        <v>10</v>
      </c>
      <c r="G1505">
        <v>65</v>
      </c>
      <c r="H1505" t="b">
        <v>1</v>
      </c>
      <c r="I1505">
        <f t="shared" si="46"/>
        <v>1</v>
      </c>
      <c r="J1505" t="str">
        <f t="shared" si="47"/>
        <v>451-600 (Fair)</v>
      </c>
      <c r="K1505" s="1"/>
    </row>
    <row r="1506" spans="1:11" x14ac:dyDescent="0.35">
      <c r="A1506" t="s">
        <v>478</v>
      </c>
      <c r="B1506" t="s">
        <v>479</v>
      </c>
      <c r="C1506">
        <v>108504</v>
      </c>
      <c r="D1506">
        <v>421</v>
      </c>
      <c r="E1506">
        <v>12696</v>
      </c>
      <c r="F1506">
        <v>34</v>
      </c>
      <c r="G1506">
        <v>55</v>
      </c>
      <c r="H1506" t="b">
        <v>0</v>
      </c>
      <c r="I1506">
        <f t="shared" si="46"/>
        <v>0</v>
      </c>
      <c r="J1506" t="str">
        <f t="shared" si="47"/>
        <v>300-450 (Poor)</v>
      </c>
      <c r="K1506" s="1"/>
    </row>
    <row r="1507" spans="1:11" x14ac:dyDescent="0.35">
      <c r="A1507" t="s">
        <v>3399</v>
      </c>
      <c r="B1507" t="s">
        <v>3400</v>
      </c>
      <c r="C1507">
        <v>59571</v>
      </c>
      <c r="D1507">
        <v>439</v>
      </c>
      <c r="E1507">
        <v>12685</v>
      </c>
      <c r="F1507">
        <v>2</v>
      </c>
      <c r="G1507">
        <v>35</v>
      </c>
      <c r="H1507" t="b">
        <v>0</v>
      </c>
      <c r="I1507">
        <f t="shared" si="46"/>
        <v>0</v>
      </c>
      <c r="J1507" t="str">
        <f t="shared" si="47"/>
        <v>300-450 (Poor)</v>
      </c>
      <c r="K1507" s="1"/>
    </row>
    <row r="1508" spans="1:11" x14ac:dyDescent="0.35">
      <c r="A1508" t="s">
        <v>3579</v>
      </c>
      <c r="B1508" t="s">
        <v>3580</v>
      </c>
      <c r="C1508">
        <v>101364</v>
      </c>
      <c r="D1508">
        <v>794</v>
      </c>
      <c r="E1508">
        <v>12658</v>
      </c>
      <c r="F1508">
        <v>21</v>
      </c>
      <c r="G1508">
        <v>90</v>
      </c>
      <c r="H1508" t="b">
        <v>1</v>
      </c>
      <c r="I1508">
        <f t="shared" si="46"/>
        <v>1</v>
      </c>
      <c r="J1508" t="str">
        <f t="shared" si="47"/>
        <v>751-850 (Excellent)</v>
      </c>
      <c r="K1508" s="1"/>
    </row>
    <row r="1509" spans="1:11" x14ac:dyDescent="0.35">
      <c r="A1509" t="s">
        <v>3602</v>
      </c>
      <c r="B1509" t="s">
        <v>3603</v>
      </c>
      <c r="C1509">
        <v>42015</v>
      </c>
      <c r="D1509">
        <v>594</v>
      </c>
      <c r="E1509">
        <v>12650</v>
      </c>
      <c r="F1509">
        <v>32</v>
      </c>
      <c r="G1509">
        <v>45</v>
      </c>
      <c r="H1509" t="b">
        <v>0</v>
      </c>
      <c r="I1509">
        <f t="shared" si="46"/>
        <v>0</v>
      </c>
      <c r="J1509" t="str">
        <f t="shared" si="47"/>
        <v>451-600 (Fair)</v>
      </c>
      <c r="K1509" s="1"/>
    </row>
    <row r="1510" spans="1:11" x14ac:dyDescent="0.35">
      <c r="A1510" t="s">
        <v>2682</v>
      </c>
      <c r="B1510" t="s">
        <v>2683</v>
      </c>
      <c r="C1510">
        <v>67777</v>
      </c>
      <c r="D1510">
        <v>767</v>
      </c>
      <c r="E1510">
        <v>12628</v>
      </c>
      <c r="F1510">
        <v>2</v>
      </c>
      <c r="G1510">
        <v>70</v>
      </c>
      <c r="H1510" t="b">
        <v>1</v>
      </c>
      <c r="I1510">
        <f t="shared" si="46"/>
        <v>1</v>
      </c>
      <c r="J1510" t="str">
        <f t="shared" si="47"/>
        <v>751-850 (Excellent)</v>
      </c>
      <c r="K1510" s="1"/>
    </row>
    <row r="1511" spans="1:11" x14ac:dyDescent="0.35">
      <c r="A1511" t="s">
        <v>3289</v>
      </c>
      <c r="B1511" t="s">
        <v>3290</v>
      </c>
      <c r="C1511">
        <v>62850</v>
      </c>
      <c r="D1511">
        <v>636</v>
      </c>
      <c r="E1511">
        <v>12615</v>
      </c>
      <c r="F1511">
        <v>34</v>
      </c>
      <c r="G1511">
        <v>60</v>
      </c>
      <c r="H1511" t="b">
        <v>1</v>
      </c>
      <c r="I1511">
        <f t="shared" si="46"/>
        <v>1</v>
      </c>
      <c r="J1511" t="str">
        <f t="shared" si="47"/>
        <v>601-750 (Good)</v>
      </c>
      <c r="K1511" s="1"/>
    </row>
    <row r="1512" spans="1:11" x14ac:dyDescent="0.35">
      <c r="A1512" t="s">
        <v>2649</v>
      </c>
      <c r="B1512" t="s">
        <v>2650</v>
      </c>
      <c r="C1512">
        <v>113202</v>
      </c>
      <c r="D1512">
        <v>547</v>
      </c>
      <c r="E1512">
        <v>12591</v>
      </c>
      <c r="F1512">
        <v>29</v>
      </c>
      <c r="G1512">
        <v>55</v>
      </c>
      <c r="H1512" t="b">
        <v>0</v>
      </c>
      <c r="I1512">
        <f t="shared" si="46"/>
        <v>0</v>
      </c>
      <c r="J1512" t="str">
        <f t="shared" si="47"/>
        <v>451-600 (Fair)</v>
      </c>
      <c r="K1512" s="1"/>
    </row>
    <row r="1513" spans="1:11" x14ac:dyDescent="0.35">
      <c r="A1513" t="s">
        <v>1348</v>
      </c>
      <c r="B1513" t="s">
        <v>1349</v>
      </c>
      <c r="C1513">
        <v>127248</v>
      </c>
      <c r="D1513">
        <v>850</v>
      </c>
      <c r="E1513">
        <v>12526</v>
      </c>
      <c r="F1513">
        <v>10</v>
      </c>
      <c r="G1513">
        <v>100</v>
      </c>
      <c r="H1513" t="b">
        <v>1</v>
      </c>
      <c r="I1513">
        <f t="shared" si="46"/>
        <v>1</v>
      </c>
      <c r="J1513" t="str">
        <f t="shared" si="47"/>
        <v>751-850 (Excellent)</v>
      </c>
      <c r="K1513" s="1"/>
    </row>
    <row r="1514" spans="1:11" x14ac:dyDescent="0.35">
      <c r="A1514" t="s">
        <v>2981</v>
      </c>
      <c r="B1514" t="s">
        <v>2982</v>
      </c>
      <c r="C1514">
        <v>87711</v>
      </c>
      <c r="D1514">
        <v>381</v>
      </c>
      <c r="E1514">
        <v>12524</v>
      </c>
      <c r="F1514">
        <v>12</v>
      </c>
      <c r="G1514">
        <v>50</v>
      </c>
      <c r="H1514" t="b">
        <v>0</v>
      </c>
      <c r="I1514">
        <f t="shared" si="46"/>
        <v>0</v>
      </c>
      <c r="J1514" t="str">
        <f t="shared" si="47"/>
        <v>300-450 (Poor)</v>
      </c>
      <c r="K1514" s="1"/>
    </row>
    <row r="1515" spans="1:11" x14ac:dyDescent="0.35">
      <c r="A1515" t="s">
        <v>3845</v>
      </c>
      <c r="B1515" t="s">
        <v>3846</v>
      </c>
      <c r="C1515">
        <v>124481</v>
      </c>
      <c r="D1515">
        <v>535</v>
      </c>
      <c r="E1515">
        <v>12516</v>
      </c>
      <c r="F1515">
        <v>0</v>
      </c>
      <c r="G1515">
        <v>40</v>
      </c>
      <c r="H1515" t="b">
        <v>0</v>
      </c>
      <c r="I1515">
        <f t="shared" si="46"/>
        <v>0</v>
      </c>
      <c r="J1515" t="str">
        <f t="shared" si="47"/>
        <v>451-600 (Fair)</v>
      </c>
      <c r="K1515" s="1"/>
    </row>
    <row r="1516" spans="1:11" x14ac:dyDescent="0.35">
      <c r="A1516" t="s">
        <v>1200</v>
      </c>
      <c r="B1516" t="s">
        <v>1201</v>
      </c>
      <c r="C1516">
        <v>126345</v>
      </c>
      <c r="D1516">
        <v>329</v>
      </c>
      <c r="E1516">
        <v>12510</v>
      </c>
      <c r="F1516">
        <v>12</v>
      </c>
      <c r="G1516">
        <v>60</v>
      </c>
      <c r="H1516" t="b">
        <v>1</v>
      </c>
      <c r="I1516">
        <f t="shared" si="46"/>
        <v>1</v>
      </c>
      <c r="J1516" t="str">
        <f t="shared" si="47"/>
        <v>300-450 (Poor)</v>
      </c>
      <c r="K1516" s="1"/>
    </row>
    <row r="1517" spans="1:11" x14ac:dyDescent="0.35">
      <c r="A1517" t="s">
        <v>1396</v>
      </c>
      <c r="B1517" t="s">
        <v>1397</v>
      </c>
      <c r="C1517">
        <v>68752</v>
      </c>
      <c r="D1517">
        <v>486</v>
      </c>
      <c r="E1517">
        <v>12492</v>
      </c>
      <c r="F1517">
        <v>9</v>
      </c>
      <c r="G1517">
        <v>40</v>
      </c>
      <c r="H1517" t="b">
        <v>0</v>
      </c>
      <c r="I1517">
        <f t="shared" si="46"/>
        <v>0</v>
      </c>
      <c r="J1517" t="str">
        <f t="shared" si="47"/>
        <v>451-600 (Fair)</v>
      </c>
      <c r="K1517" s="1"/>
    </row>
    <row r="1518" spans="1:11" x14ac:dyDescent="0.35">
      <c r="A1518" t="s">
        <v>189</v>
      </c>
      <c r="B1518" t="s">
        <v>190</v>
      </c>
      <c r="C1518">
        <v>60512</v>
      </c>
      <c r="D1518">
        <v>341</v>
      </c>
      <c r="E1518">
        <v>12481</v>
      </c>
      <c r="F1518">
        <v>30</v>
      </c>
      <c r="G1518">
        <v>45</v>
      </c>
      <c r="H1518" t="b">
        <v>0</v>
      </c>
      <c r="I1518">
        <f t="shared" si="46"/>
        <v>0</v>
      </c>
      <c r="J1518" t="str">
        <f t="shared" si="47"/>
        <v>300-450 (Poor)</v>
      </c>
      <c r="K1518" s="1"/>
    </row>
    <row r="1519" spans="1:11" x14ac:dyDescent="0.35">
      <c r="A1519" t="s">
        <v>3069</v>
      </c>
      <c r="B1519" t="s">
        <v>3070</v>
      </c>
      <c r="C1519">
        <v>41846</v>
      </c>
      <c r="D1519">
        <v>722</v>
      </c>
      <c r="E1519">
        <v>12470</v>
      </c>
      <c r="F1519">
        <v>0</v>
      </c>
      <c r="G1519">
        <v>40</v>
      </c>
      <c r="H1519" t="b">
        <v>0</v>
      </c>
      <c r="I1519">
        <f t="shared" si="46"/>
        <v>0</v>
      </c>
      <c r="J1519" t="str">
        <f t="shared" si="47"/>
        <v>601-750 (Good)</v>
      </c>
      <c r="K1519" s="1"/>
    </row>
    <row r="1520" spans="1:11" x14ac:dyDescent="0.35">
      <c r="A1520" t="s">
        <v>1420</v>
      </c>
      <c r="B1520" t="s">
        <v>1421</v>
      </c>
      <c r="C1520">
        <v>104593</v>
      </c>
      <c r="D1520">
        <v>724</v>
      </c>
      <c r="E1520">
        <v>12461</v>
      </c>
      <c r="F1520">
        <v>35</v>
      </c>
      <c r="G1520">
        <v>80</v>
      </c>
      <c r="H1520" t="b">
        <v>1</v>
      </c>
      <c r="I1520">
        <f t="shared" si="46"/>
        <v>1</v>
      </c>
      <c r="J1520" t="str">
        <f t="shared" si="47"/>
        <v>601-750 (Good)</v>
      </c>
      <c r="K1520" s="1"/>
    </row>
    <row r="1521" spans="1:11" x14ac:dyDescent="0.35">
      <c r="A1521" t="s">
        <v>827</v>
      </c>
      <c r="B1521" t="s">
        <v>828</v>
      </c>
      <c r="C1521">
        <v>101066</v>
      </c>
      <c r="D1521">
        <v>402</v>
      </c>
      <c r="E1521">
        <v>12449</v>
      </c>
      <c r="F1521">
        <v>2</v>
      </c>
      <c r="G1521">
        <v>45</v>
      </c>
      <c r="H1521" t="b">
        <v>0</v>
      </c>
      <c r="I1521">
        <f t="shared" si="46"/>
        <v>0</v>
      </c>
      <c r="J1521" t="str">
        <f t="shared" si="47"/>
        <v>300-450 (Poor)</v>
      </c>
      <c r="K1521" s="1"/>
    </row>
    <row r="1522" spans="1:11" x14ac:dyDescent="0.35">
      <c r="A1522" t="s">
        <v>3493</v>
      </c>
      <c r="B1522" t="s">
        <v>3494</v>
      </c>
      <c r="C1522">
        <v>45292</v>
      </c>
      <c r="D1522">
        <v>752</v>
      </c>
      <c r="E1522">
        <v>12397</v>
      </c>
      <c r="F1522">
        <v>13</v>
      </c>
      <c r="G1522">
        <v>65</v>
      </c>
      <c r="H1522" t="b">
        <v>1</v>
      </c>
      <c r="I1522">
        <f t="shared" si="46"/>
        <v>1</v>
      </c>
      <c r="J1522" t="str">
        <f t="shared" si="47"/>
        <v>751-850 (Excellent)</v>
      </c>
      <c r="K1522" s="1"/>
    </row>
    <row r="1523" spans="1:11" x14ac:dyDescent="0.35">
      <c r="A1523" t="s">
        <v>2539</v>
      </c>
      <c r="B1523" t="s">
        <v>2540</v>
      </c>
      <c r="C1523">
        <v>39359</v>
      </c>
      <c r="D1523">
        <v>802</v>
      </c>
      <c r="E1523">
        <v>12388</v>
      </c>
      <c r="F1523">
        <v>30</v>
      </c>
      <c r="G1523">
        <v>70</v>
      </c>
      <c r="H1523" t="b">
        <v>1</v>
      </c>
      <c r="I1523">
        <f t="shared" si="46"/>
        <v>1</v>
      </c>
      <c r="J1523" t="str">
        <f t="shared" si="47"/>
        <v>751-850 (Excellent)</v>
      </c>
      <c r="K1523" s="1"/>
    </row>
    <row r="1524" spans="1:11" x14ac:dyDescent="0.35">
      <c r="A1524" t="s">
        <v>3152</v>
      </c>
      <c r="B1524" t="s">
        <v>3153</v>
      </c>
      <c r="C1524">
        <v>48758</v>
      </c>
      <c r="D1524">
        <v>832</v>
      </c>
      <c r="E1524">
        <v>12364</v>
      </c>
      <c r="F1524">
        <v>7</v>
      </c>
      <c r="G1524">
        <v>65</v>
      </c>
      <c r="H1524" t="b">
        <v>1</v>
      </c>
      <c r="I1524">
        <f t="shared" si="46"/>
        <v>1</v>
      </c>
      <c r="J1524" t="str">
        <f t="shared" si="47"/>
        <v>751-850 (Excellent)</v>
      </c>
      <c r="K1524" s="1"/>
    </row>
    <row r="1525" spans="1:11" x14ac:dyDescent="0.35">
      <c r="A1525" t="s">
        <v>747</v>
      </c>
      <c r="B1525" t="s">
        <v>748</v>
      </c>
      <c r="C1525">
        <v>100855</v>
      </c>
      <c r="D1525">
        <v>759</v>
      </c>
      <c r="E1525">
        <v>12329</v>
      </c>
      <c r="F1525">
        <v>10</v>
      </c>
      <c r="G1525">
        <v>90</v>
      </c>
      <c r="H1525" t="b">
        <v>1</v>
      </c>
      <c r="I1525">
        <f t="shared" si="46"/>
        <v>1</v>
      </c>
      <c r="J1525" t="str">
        <f t="shared" si="47"/>
        <v>751-850 (Excellent)</v>
      </c>
      <c r="K1525" s="1"/>
    </row>
    <row r="1526" spans="1:11" x14ac:dyDescent="0.35">
      <c r="A1526" t="s">
        <v>2756</v>
      </c>
      <c r="B1526" t="s">
        <v>2757</v>
      </c>
      <c r="C1526">
        <v>67752</v>
      </c>
      <c r="D1526">
        <v>729</v>
      </c>
      <c r="E1526">
        <v>12299</v>
      </c>
      <c r="F1526">
        <v>11</v>
      </c>
      <c r="G1526">
        <v>70</v>
      </c>
      <c r="H1526" t="b">
        <v>1</v>
      </c>
      <c r="I1526">
        <f t="shared" si="46"/>
        <v>1</v>
      </c>
      <c r="J1526" t="str">
        <f t="shared" si="47"/>
        <v>601-750 (Good)</v>
      </c>
      <c r="K1526" s="1"/>
    </row>
    <row r="1527" spans="1:11" x14ac:dyDescent="0.35">
      <c r="A1527" t="s">
        <v>1443</v>
      </c>
      <c r="B1527" t="s">
        <v>1444</v>
      </c>
      <c r="C1527">
        <v>109516</v>
      </c>
      <c r="D1527">
        <v>650</v>
      </c>
      <c r="E1527">
        <v>12285</v>
      </c>
      <c r="F1527">
        <v>19</v>
      </c>
      <c r="G1527">
        <v>70</v>
      </c>
      <c r="H1527" t="b">
        <v>1</v>
      </c>
      <c r="I1527">
        <f t="shared" si="46"/>
        <v>1</v>
      </c>
      <c r="J1527" t="str">
        <f t="shared" si="47"/>
        <v>601-750 (Good)</v>
      </c>
      <c r="K1527" s="1"/>
    </row>
    <row r="1528" spans="1:11" x14ac:dyDescent="0.35">
      <c r="A1528" t="s">
        <v>1813</v>
      </c>
      <c r="B1528" t="s">
        <v>1814</v>
      </c>
      <c r="C1528">
        <v>140166</v>
      </c>
      <c r="D1528">
        <v>311</v>
      </c>
      <c r="E1528">
        <v>12260</v>
      </c>
      <c r="F1528">
        <v>20</v>
      </c>
      <c r="G1528">
        <v>60</v>
      </c>
      <c r="H1528" t="b">
        <v>1</v>
      </c>
      <c r="I1528">
        <f t="shared" si="46"/>
        <v>1</v>
      </c>
      <c r="J1528" t="str">
        <f t="shared" si="47"/>
        <v>300-450 (Poor)</v>
      </c>
      <c r="K1528" s="1"/>
    </row>
    <row r="1529" spans="1:11" x14ac:dyDescent="0.35">
      <c r="A1529" t="s">
        <v>3889</v>
      </c>
      <c r="B1529" t="s">
        <v>3890</v>
      </c>
      <c r="C1529">
        <v>92163</v>
      </c>
      <c r="D1529">
        <v>770</v>
      </c>
      <c r="E1529">
        <v>12251</v>
      </c>
      <c r="F1529">
        <v>13</v>
      </c>
      <c r="G1529">
        <v>85</v>
      </c>
      <c r="H1529" t="b">
        <v>1</v>
      </c>
      <c r="I1529">
        <f t="shared" si="46"/>
        <v>1</v>
      </c>
      <c r="J1529" t="str">
        <f t="shared" si="47"/>
        <v>751-850 (Excellent)</v>
      </c>
      <c r="K1529" s="1"/>
    </row>
    <row r="1530" spans="1:11" x14ac:dyDescent="0.35">
      <c r="A1530" t="s">
        <v>1809</v>
      </c>
      <c r="B1530" t="s">
        <v>1810</v>
      </c>
      <c r="C1530">
        <v>124919</v>
      </c>
      <c r="D1530">
        <v>395</v>
      </c>
      <c r="E1530">
        <v>12234</v>
      </c>
      <c r="F1530">
        <v>6</v>
      </c>
      <c r="G1530">
        <v>55</v>
      </c>
      <c r="H1530" t="b">
        <v>0</v>
      </c>
      <c r="I1530">
        <f t="shared" si="46"/>
        <v>0</v>
      </c>
      <c r="J1530" t="str">
        <f t="shared" si="47"/>
        <v>300-450 (Poor)</v>
      </c>
      <c r="K1530" s="1"/>
    </row>
    <row r="1531" spans="1:11" x14ac:dyDescent="0.35">
      <c r="A1531" t="s">
        <v>392</v>
      </c>
      <c r="B1531" t="s">
        <v>393</v>
      </c>
      <c r="C1531">
        <v>119166</v>
      </c>
      <c r="D1531">
        <v>457</v>
      </c>
      <c r="E1531">
        <v>12219</v>
      </c>
      <c r="F1531">
        <v>39</v>
      </c>
      <c r="G1531">
        <v>55</v>
      </c>
      <c r="H1531" t="b">
        <v>0</v>
      </c>
      <c r="I1531">
        <f t="shared" si="46"/>
        <v>0</v>
      </c>
      <c r="J1531" t="str">
        <f t="shared" si="47"/>
        <v>451-600 (Fair)</v>
      </c>
      <c r="K1531" s="1"/>
    </row>
    <row r="1532" spans="1:11" x14ac:dyDescent="0.35">
      <c r="A1532" t="s">
        <v>2223</v>
      </c>
      <c r="B1532" t="s">
        <v>2224</v>
      </c>
      <c r="C1532">
        <v>102544</v>
      </c>
      <c r="D1532">
        <v>763</v>
      </c>
      <c r="E1532">
        <v>12215</v>
      </c>
      <c r="F1532">
        <v>38</v>
      </c>
      <c r="G1532">
        <v>90</v>
      </c>
      <c r="H1532" t="b">
        <v>1</v>
      </c>
      <c r="I1532">
        <f t="shared" si="46"/>
        <v>1</v>
      </c>
      <c r="J1532" t="str">
        <f t="shared" si="47"/>
        <v>751-850 (Excellent)</v>
      </c>
      <c r="K1532" s="1"/>
    </row>
    <row r="1533" spans="1:11" x14ac:dyDescent="0.35">
      <c r="A1533" t="s">
        <v>1172</v>
      </c>
      <c r="B1533" t="s">
        <v>511</v>
      </c>
      <c r="C1533">
        <v>51299</v>
      </c>
      <c r="D1533">
        <v>344</v>
      </c>
      <c r="E1533">
        <v>12199</v>
      </c>
      <c r="F1533">
        <v>21</v>
      </c>
      <c r="G1533">
        <v>45</v>
      </c>
      <c r="H1533" t="b">
        <v>0</v>
      </c>
      <c r="I1533">
        <f t="shared" si="46"/>
        <v>0</v>
      </c>
      <c r="J1533" t="str">
        <f t="shared" si="47"/>
        <v>300-450 (Poor)</v>
      </c>
      <c r="K1533" s="1"/>
    </row>
    <row r="1534" spans="1:11" x14ac:dyDescent="0.35">
      <c r="A1534" t="s">
        <v>1897</v>
      </c>
      <c r="B1534" t="s">
        <v>1898</v>
      </c>
      <c r="C1534">
        <v>59389</v>
      </c>
      <c r="D1534">
        <v>741</v>
      </c>
      <c r="E1534">
        <v>12182</v>
      </c>
      <c r="F1534">
        <v>11</v>
      </c>
      <c r="G1534">
        <v>80</v>
      </c>
      <c r="H1534" t="b">
        <v>1</v>
      </c>
      <c r="I1534">
        <f t="shared" si="46"/>
        <v>1</v>
      </c>
      <c r="J1534" t="str">
        <f t="shared" si="47"/>
        <v>601-750 (Good)</v>
      </c>
      <c r="K1534" s="1"/>
    </row>
    <row r="1535" spans="1:11" x14ac:dyDescent="0.35">
      <c r="A1535" t="s">
        <v>3464</v>
      </c>
      <c r="B1535" t="s">
        <v>3465</v>
      </c>
      <c r="C1535">
        <v>111205</v>
      </c>
      <c r="D1535">
        <v>499</v>
      </c>
      <c r="E1535">
        <v>12180</v>
      </c>
      <c r="F1535">
        <v>10</v>
      </c>
      <c r="G1535">
        <v>55</v>
      </c>
      <c r="H1535" t="b">
        <v>0</v>
      </c>
      <c r="I1535">
        <f t="shared" si="46"/>
        <v>0</v>
      </c>
      <c r="J1535" t="str">
        <f t="shared" si="47"/>
        <v>451-600 (Fair)</v>
      </c>
      <c r="K1535" s="1"/>
    </row>
    <row r="1536" spans="1:11" x14ac:dyDescent="0.35">
      <c r="A1536" t="s">
        <v>1835</v>
      </c>
      <c r="B1536" t="s">
        <v>1836</v>
      </c>
      <c r="C1536">
        <v>33552</v>
      </c>
      <c r="D1536">
        <v>465</v>
      </c>
      <c r="E1536">
        <v>12179</v>
      </c>
      <c r="F1536">
        <v>1</v>
      </c>
      <c r="G1536">
        <v>15</v>
      </c>
      <c r="H1536" t="b">
        <v>0</v>
      </c>
      <c r="I1536">
        <f t="shared" si="46"/>
        <v>0</v>
      </c>
      <c r="J1536" t="str">
        <f t="shared" si="47"/>
        <v>451-600 (Fair)</v>
      </c>
      <c r="K1536" s="1"/>
    </row>
    <row r="1537" spans="1:11" x14ac:dyDescent="0.35">
      <c r="A1537" t="s">
        <v>3534</v>
      </c>
      <c r="B1537" t="s">
        <v>3535</v>
      </c>
      <c r="C1537">
        <v>125236</v>
      </c>
      <c r="D1537">
        <v>825</v>
      </c>
      <c r="E1537">
        <v>12161</v>
      </c>
      <c r="F1537">
        <v>11</v>
      </c>
      <c r="G1537">
        <v>100</v>
      </c>
      <c r="H1537" t="b">
        <v>1</v>
      </c>
      <c r="I1537">
        <f t="shared" si="46"/>
        <v>1</v>
      </c>
      <c r="J1537" t="str">
        <f t="shared" si="47"/>
        <v>751-850 (Excellent)</v>
      </c>
      <c r="K1537" s="1"/>
    </row>
    <row r="1538" spans="1:11" x14ac:dyDescent="0.35">
      <c r="A1538" t="s">
        <v>2081</v>
      </c>
      <c r="B1538" t="s">
        <v>2082</v>
      </c>
      <c r="C1538">
        <v>135932</v>
      </c>
      <c r="D1538">
        <v>803</v>
      </c>
      <c r="E1538">
        <v>12112</v>
      </c>
      <c r="F1538">
        <v>7</v>
      </c>
      <c r="G1538">
        <v>95</v>
      </c>
      <c r="H1538" t="b">
        <v>1</v>
      </c>
      <c r="I1538">
        <f t="shared" si="46"/>
        <v>1</v>
      </c>
      <c r="J1538" t="str">
        <f t="shared" si="47"/>
        <v>751-850 (Excellent)</v>
      </c>
      <c r="K1538" s="1"/>
    </row>
    <row r="1539" spans="1:11" x14ac:dyDescent="0.35">
      <c r="A1539" t="s">
        <v>548</v>
      </c>
      <c r="B1539" t="s">
        <v>549</v>
      </c>
      <c r="C1539">
        <v>57760</v>
      </c>
      <c r="D1539">
        <v>689</v>
      </c>
      <c r="E1539">
        <v>12108</v>
      </c>
      <c r="F1539">
        <v>8</v>
      </c>
      <c r="G1539">
        <v>65</v>
      </c>
      <c r="H1539" t="b">
        <v>1</v>
      </c>
      <c r="I1539">
        <f t="shared" si="46"/>
        <v>1</v>
      </c>
      <c r="J1539" t="str">
        <f t="shared" si="47"/>
        <v>601-750 (Good)</v>
      </c>
      <c r="K1539" s="1"/>
    </row>
    <row r="1540" spans="1:11" x14ac:dyDescent="0.35">
      <c r="A1540" t="s">
        <v>1575</v>
      </c>
      <c r="B1540" t="s">
        <v>1576</v>
      </c>
      <c r="C1540">
        <v>135396</v>
      </c>
      <c r="D1540">
        <v>484</v>
      </c>
      <c r="E1540">
        <v>12029</v>
      </c>
      <c r="F1540">
        <v>32</v>
      </c>
      <c r="G1540">
        <v>60</v>
      </c>
      <c r="H1540" t="b">
        <v>1</v>
      </c>
      <c r="I1540">
        <f t="shared" ref="I1540:I1603" si="48">--H1540</f>
        <v>1</v>
      </c>
      <c r="J1540" t="str">
        <f t="shared" ref="J1540:J1603" si="49">IF(D1540&gt;750, "751-850 (Excellent)", IF(D1540&gt;600, "601-750 (Good)", IF(D1540&gt;450, "451-600 (Fair)", "300-450 (Poor)")))</f>
        <v>451-600 (Fair)</v>
      </c>
      <c r="K1540" s="1"/>
    </row>
    <row r="1541" spans="1:11" x14ac:dyDescent="0.35">
      <c r="A1541" t="s">
        <v>691</v>
      </c>
      <c r="B1541" t="s">
        <v>692</v>
      </c>
      <c r="C1541">
        <v>42899</v>
      </c>
      <c r="D1541">
        <v>351</v>
      </c>
      <c r="E1541">
        <v>12009</v>
      </c>
      <c r="F1541">
        <v>36</v>
      </c>
      <c r="G1541">
        <v>30</v>
      </c>
      <c r="H1541" t="b">
        <v>0</v>
      </c>
      <c r="I1541">
        <f t="shared" si="48"/>
        <v>0</v>
      </c>
      <c r="J1541" t="str">
        <f t="shared" si="49"/>
        <v>300-450 (Poor)</v>
      </c>
      <c r="K1541" s="1"/>
    </row>
    <row r="1542" spans="1:11" x14ac:dyDescent="0.35">
      <c r="A1542" t="s">
        <v>2271</v>
      </c>
      <c r="B1542" t="s">
        <v>2272</v>
      </c>
      <c r="C1542">
        <v>58361</v>
      </c>
      <c r="D1542">
        <v>815</v>
      </c>
      <c r="E1542">
        <v>11964</v>
      </c>
      <c r="F1542">
        <v>9</v>
      </c>
      <c r="G1542">
        <v>80</v>
      </c>
      <c r="H1542" t="b">
        <v>1</v>
      </c>
      <c r="I1542">
        <f t="shared" si="48"/>
        <v>1</v>
      </c>
      <c r="J1542" t="str">
        <f t="shared" si="49"/>
        <v>751-850 (Excellent)</v>
      </c>
      <c r="K1542" s="1"/>
    </row>
    <row r="1543" spans="1:11" x14ac:dyDescent="0.35">
      <c r="A1543" t="s">
        <v>2046</v>
      </c>
      <c r="B1543" t="s">
        <v>2047</v>
      </c>
      <c r="C1543">
        <v>137784</v>
      </c>
      <c r="D1543">
        <v>322</v>
      </c>
      <c r="E1543">
        <v>11940</v>
      </c>
      <c r="F1543">
        <v>38</v>
      </c>
      <c r="G1543">
        <v>60</v>
      </c>
      <c r="H1543" t="b">
        <v>1</v>
      </c>
      <c r="I1543">
        <f t="shared" si="48"/>
        <v>1</v>
      </c>
      <c r="J1543" t="str">
        <f t="shared" si="49"/>
        <v>300-450 (Poor)</v>
      </c>
      <c r="K1543" s="1"/>
    </row>
    <row r="1544" spans="1:11" x14ac:dyDescent="0.35">
      <c r="A1544" t="s">
        <v>2265</v>
      </c>
      <c r="B1544" t="s">
        <v>2266</v>
      </c>
      <c r="C1544">
        <v>120461</v>
      </c>
      <c r="D1544">
        <v>371</v>
      </c>
      <c r="E1544">
        <v>11921</v>
      </c>
      <c r="F1544">
        <v>11</v>
      </c>
      <c r="G1544">
        <v>60</v>
      </c>
      <c r="H1544" t="b">
        <v>1</v>
      </c>
      <c r="I1544">
        <f t="shared" si="48"/>
        <v>1</v>
      </c>
      <c r="J1544" t="str">
        <f t="shared" si="49"/>
        <v>300-450 (Poor)</v>
      </c>
      <c r="K1544" s="1"/>
    </row>
    <row r="1545" spans="1:11" x14ac:dyDescent="0.35">
      <c r="A1545" t="s">
        <v>3742</v>
      </c>
      <c r="B1545" t="s">
        <v>3743</v>
      </c>
      <c r="C1545">
        <v>110623</v>
      </c>
      <c r="D1545">
        <v>576</v>
      </c>
      <c r="E1545">
        <v>11836</v>
      </c>
      <c r="F1545">
        <v>38</v>
      </c>
      <c r="G1545">
        <v>55</v>
      </c>
      <c r="H1545" t="b">
        <v>0</v>
      </c>
      <c r="I1545">
        <f t="shared" si="48"/>
        <v>0</v>
      </c>
      <c r="J1545" t="str">
        <f t="shared" si="49"/>
        <v>451-600 (Fair)</v>
      </c>
      <c r="K1545" s="1"/>
    </row>
    <row r="1546" spans="1:11" x14ac:dyDescent="0.35">
      <c r="A1546" t="s">
        <v>2578</v>
      </c>
      <c r="B1546" t="s">
        <v>302</v>
      </c>
      <c r="C1546">
        <v>94722</v>
      </c>
      <c r="D1546">
        <v>705</v>
      </c>
      <c r="E1546">
        <v>11835</v>
      </c>
      <c r="F1546">
        <v>29</v>
      </c>
      <c r="G1546">
        <v>75</v>
      </c>
      <c r="H1546" t="b">
        <v>1</v>
      </c>
      <c r="I1546">
        <f t="shared" si="48"/>
        <v>1</v>
      </c>
      <c r="J1546" t="str">
        <f t="shared" si="49"/>
        <v>601-750 (Good)</v>
      </c>
      <c r="K1546" s="1"/>
    </row>
    <row r="1547" spans="1:11" x14ac:dyDescent="0.35">
      <c r="A1547" t="s">
        <v>3727</v>
      </c>
      <c r="B1547" t="s">
        <v>3728</v>
      </c>
      <c r="C1547">
        <v>131976</v>
      </c>
      <c r="D1547">
        <v>570</v>
      </c>
      <c r="E1547">
        <v>11822</v>
      </c>
      <c r="F1547">
        <v>27</v>
      </c>
      <c r="G1547">
        <v>60</v>
      </c>
      <c r="H1547" t="b">
        <v>1</v>
      </c>
      <c r="I1547">
        <f t="shared" si="48"/>
        <v>1</v>
      </c>
      <c r="J1547" t="str">
        <f t="shared" si="49"/>
        <v>451-600 (Fair)</v>
      </c>
      <c r="K1547" s="1"/>
    </row>
    <row r="1548" spans="1:11" x14ac:dyDescent="0.35">
      <c r="A1548" t="s">
        <v>1995</v>
      </c>
      <c r="B1548" t="s">
        <v>1996</v>
      </c>
      <c r="C1548">
        <v>112213</v>
      </c>
      <c r="D1548">
        <v>395</v>
      </c>
      <c r="E1548">
        <v>11820</v>
      </c>
      <c r="F1548">
        <v>36</v>
      </c>
      <c r="G1548">
        <v>55</v>
      </c>
      <c r="H1548" t="b">
        <v>0</v>
      </c>
      <c r="I1548">
        <f t="shared" si="48"/>
        <v>0</v>
      </c>
      <c r="J1548" t="str">
        <f t="shared" si="49"/>
        <v>300-450 (Poor)</v>
      </c>
      <c r="K1548" s="1"/>
    </row>
    <row r="1549" spans="1:11" x14ac:dyDescent="0.35">
      <c r="A1549" t="s">
        <v>2758</v>
      </c>
      <c r="B1549" t="s">
        <v>2759</v>
      </c>
      <c r="C1549">
        <v>87424</v>
      </c>
      <c r="D1549">
        <v>412</v>
      </c>
      <c r="E1549">
        <v>11641</v>
      </c>
      <c r="F1549">
        <v>1</v>
      </c>
      <c r="G1549">
        <v>35</v>
      </c>
      <c r="H1549" t="b">
        <v>0</v>
      </c>
      <c r="I1549">
        <f t="shared" si="48"/>
        <v>0</v>
      </c>
      <c r="J1549" t="str">
        <f t="shared" si="49"/>
        <v>300-450 (Poor)</v>
      </c>
      <c r="K1549" s="1"/>
    </row>
    <row r="1550" spans="1:11" x14ac:dyDescent="0.35">
      <c r="A1550" t="s">
        <v>1759</v>
      </c>
      <c r="B1550" t="s">
        <v>368</v>
      </c>
      <c r="C1550">
        <v>128759</v>
      </c>
      <c r="D1550">
        <v>636</v>
      </c>
      <c r="E1550">
        <v>11635</v>
      </c>
      <c r="F1550">
        <v>6</v>
      </c>
      <c r="G1550">
        <v>70</v>
      </c>
      <c r="H1550" t="b">
        <v>1</v>
      </c>
      <c r="I1550">
        <f t="shared" si="48"/>
        <v>1</v>
      </c>
      <c r="J1550" t="str">
        <f t="shared" si="49"/>
        <v>601-750 (Good)</v>
      </c>
      <c r="K1550" s="1"/>
    </row>
    <row r="1551" spans="1:11" x14ac:dyDescent="0.35">
      <c r="A1551" t="s">
        <v>3643</v>
      </c>
      <c r="B1551" t="s">
        <v>3644</v>
      </c>
      <c r="C1551">
        <v>58305</v>
      </c>
      <c r="D1551">
        <v>371</v>
      </c>
      <c r="E1551">
        <v>11622</v>
      </c>
      <c r="F1551">
        <v>3</v>
      </c>
      <c r="G1551">
        <v>35</v>
      </c>
      <c r="H1551" t="b">
        <v>0</v>
      </c>
      <c r="I1551">
        <f t="shared" si="48"/>
        <v>0</v>
      </c>
      <c r="J1551" t="str">
        <f t="shared" si="49"/>
        <v>300-450 (Poor)</v>
      </c>
      <c r="K1551" s="1"/>
    </row>
    <row r="1552" spans="1:11" x14ac:dyDescent="0.35">
      <c r="A1552" t="s">
        <v>1302</v>
      </c>
      <c r="B1552" t="s">
        <v>1303</v>
      </c>
      <c r="C1552">
        <v>86959</v>
      </c>
      <c r="D1552">
        <v>563</v>
      </c>
      <c r="E1552">
        <v>11614</v>
      </c>
      <c r="F1552">
        <v>4</v>
      </c>
      <c r="G1552">
        <v>40</v>
      </c>
      <c r="H1552" t="b">
        <v>0</v>
      </c>
      <c r="I1552">
        <f t="shared" si="48"/>
        <v>0</v>
      </c>
      <c r="J1552" t="str">
        <f t="shared" si="49"/>
        <v>451-600 (Fair)</v>
      </c>
      <c r="K1552" s="1"/>
    </row>
    <row r="1553" spans="1:11" x14ac:dyDescent="0.35">
      <c r="A1553" t="s">
        <v>2776</v>
      </c>
      <c r="B1553" t="s">
        <v>2777</v>
      </c>
      <c r="C1553">
        <v>61365</v>
      </c>
      <c r="D1553">
        <v>543</v>
      </c>
      <c r="E1553">
        <v>11609</v>
      </c>
      <c r="F1553">
        <v>25</v>
      </c>
      <c r="G1553">
        <v>45</v>
      </c>
      <c r="H1553" t="b">
        <v>0</v>
      </c>
      <c r="I1553">
        <f t="shared" si="48"/>
        <v>0</v>
      </c>
      <c r="J1553" t="str">
        <f t="shared" si="49"/>
        <v>451-600 (Fair)</v>
      </c>
      <c r="K1553" s="1"/>
    </row>
    <row r="1554" spans="1:11" x14ac:dyDescent="0.35">
      <c r="A1554" t="s">
        <v>1453</v>
      </c>
      <c r="B1554" t="s">
        <v>1454</v>
      </c>
      <c r="C1554">
        <v>87954</v>
      </c>
      <c r="D1554">
        <v>660</v>
      </c>
      <c r="E1554">
        <v>11522</v>
      </c>
      <c r="F1554">
        <v>32</v>
      </c>
      <c r="G1554">
        <v>65</v>
      </c>
      <c r="H1554" t="b">
        <v>1</v>
      </c>
      <c r="I1554">
        <f t="shared" si="48"/>
        <v>1</v>
      </c>
      <c r="J1554" t="str">
        <f t="shared" si="49"/>
        <v>601-750 (Good)</v>
      </c>
      <c r="K1554" s="1"/>
    </row>
    <row r="1555" spans="1:11" x14ac:dyDescent="0.35">
      <c r="A1555" t="s">
        <v>934</v>
      </c>
      <c r="B1555" t="s">
        <v>935</v>
      </c>
      <c r="C1555">
        <v>39508</v>
      </c>
      <c r="D1555">
        <v>756</v>
      </c>
      <c r="E1555">
        <v>11434</v>
      </c>
      <c r="F1555">
        <v>11</v>
      </c>
      <c r="G1555">
        <v>65</v>
      </c>
      <c r="H1555" t="b">
        <v>1</v>
      </c>
      <c r="I1555">
        <f t="shared" si="48"/>
        <v>1</v>
      </c>
      <c r="J1555" t="str">
        <f t="shared" si="49"/>
        <v>751-850 (Excellent)</v>
      </c>
      <c r="K1555" s="1"/>
    </row>
    <row r="1556" spans="1:11" x14ac:dyDescent="0.35">
      <c r="A1556" t="s">
        <v>95</v>
      </c>
      <c r="B1556" t="s">
        <v>96</v>
      </c>
      <c r="C1556">
        <v>129458</v>
      </c>
      <c r="D1556">
        <v>573</v>
      </c>
      <c r="E1556">
        <v>11433</v>
      </c>
      <c r="F1556">
        <v>6</v>
      </c>
      <c r="G1556">
        <v>55</v>
      </c>
      <c r="H1556" t="b">
        <v>0</v>
      </c>
      <c r="I1556">
        <f t="shared" si="48"/>
        <v>0</v>
      </c>
      <c r="J1556" t="str">
        <f t="shared" si="49"/>
        <v>451-600 (Fair)</v>
      </c>
      <c r="K1556" s="1"/>
    </row>
    <row r="1557" spans="1:11" x14ac:dyDescent="0.35">
      <c r="A1557" t="s">
        <v>3729</v>
      </c>
      <c r="B1557" t="s">
        <v>3730</v>
      </c>
      <c r="C1557">
        <v>77453</v>
      </c>
      <c r="D1557">
        <v>356</v>
      </c>
      <c r="E1557">
        <v>11378</v>
      </c>
      <c r="F1557">
        <v>1</v>
      </c>
      <c r="G1557">
        <v>35</v>
      </c>
      <c r="H1557" t="b">
        <v>0</v>
      </c>
      <c r="I1557">
        <f t="shared" si="48"/>
        <v>0</v>
      </c>
      <c r="J1557" t="str">
        <f t="shared" si="49"/>
        <v>300-450 (Poor)</v>
      </c>
      <c r="K1557" s="1"/>
    </row>
    <row r="1558" spans="1:11" x14ac:dyDescent="0.35">
      <c r="A1558" t="s">
        <v>2762</v>
      </c>
      <c r="B1558" t="s">
        <v>2763</v>
      </c>
      <c r="C1558">
        <v>121521</v>
      </c>
      <c r="D1558">
        <v>473</v>
      </c>
      <c r="E1558">
        <v>11365</v>
      </c>
      <c r="F1558">
        <v>6</v>
      </c>
      <c r="G1558">
        <v>55</v>
      </c>
      <c r="H1558" t="b">
        <v>0</v>
      </c>
      <c r="I1558">
        <f t="shared" si="48"/>
        <v>0</v>
      </c>
      <c r="J1558" t="str">
        <f t="shared" si="49"/>
        <v>451-600 (Fair)</v>
      </c>
      <c r="K1558" s="1"/>
    </row>
    <row r="1559" spans="1:11" x14ac:dyDescent="0.35">
      <c r="A1559" t="s">
        <v>1222</v>
      </c>
      <c r="B1559" t="s">
        <v>1223</v>
      </c>
      <c r="C1559">
        <v>142537</v>
      </c>
      <c r="D1559">
        <v>452</v>
      </c>
      <c r="E1559">
        <v>11321</v>
      </c>
      <c r="F1559">
        <v>17</v>
      </c>
      <c r="G1559">
        <v>60</v>
      </c>
      <c r="H1559" t="b">
        <v>1</v>
      </c>
      <c r="I1559">
        <f t="shared" si="48"/>
        <v>1</v>
      </c>
      <c r="J1559" t="str">
        <f t="shared" si="49"/>
        <v>451-600 (Fair)</v>
      </c>
      <c r="K1559" s="1"/>
    </row>
    <row r="1560" spans="1:11" x14ac:dyDescent="0.35">
      <c r="A1560" t="s">
        <v>732</v>
      </c>
      <c r="B1560" t="s">
        <v>733</v>
      </c>
      <c r="C1560">
        <v>88082</v>
      </c>
      <c r="D1560">
        <v>744</v>
      </c>
      <c r="E1560">
        <v>11295</v>
      </c>
      <c r="F1560">
        <v>3</v>
      </c>
      <c r="G1560">
        <v>75</v>
      </c>
      <c r="H1560" t="b">
        <v>1</v>
      </c>
      <c r="I1560">
        <f t="shared" si="48"/>
        <v>1</v>
      </c>
      <c r="J1560" t="str">
        <f t="shared" si="49"/>
        <v>601-750 (Good)</v>
      </c>
      <c r="K1560" s="1"/>
    </row>
    <row r="1561" spans="1:11" x14ac:dyDescent="0.35">
      <c r="A1561" t="s">
        <v>2974</v>
      </c>
      <c r="B1561" t="s">
        <v>2975</v>
      </c>
      <c r="C1561">
        <v>143993</v>
      </c>
      <c r="D1561">
        <v>372</v>
      </c>
      <c r="E1561">
        <v>11239</v>
      </c>
      <c r="F1561">
        <v>37</v>
      </c>
      <c r="G1561">
        <v>60</v>
      </c>
      <c r="H1561" t="b">
        <v>1</v>
      </c>
      <c r="I1561">
        <f t="shared" si="48"/>
        <v>1</v>
      </c>
      <c r="J1561" t="str">
        <f t="shared" si="49"/>
        <v>300-450 (Poor)</v>
      </c>
      <c r="K1561" s="1"/>
    </row>
    <row r="1562" spans="1:11" x14ac:dyDescent="0.35">
      <c r="A1562" t="s">
        <v>1002</v>
      </c>
      <c r="B1562" t="s">
        <v>334</v>
      </c>
      <c r="C1562">
        <v>116951</v>
      </c>
      <c r="D1562">
        <v>664</v>
      </c>
      <c r="E1562">
        <v>11223</v>
      </c>
      <c r="F1562">
        <v>6</v>
      </c>
      <c r="G1562">
        <v>70</v>
      </c>
      <c r="H1562" t="b">
        <v>1</v>
      </c>
      <c r="I1562">
        <f t="shared" si="48"/>
        <v>1</v>
      </c>
      <c r="J1562" t="str">
        <f t="shared" si="49"/>
        <v>601-750 (Good)</v>
      </c>
      <c r="K1562" s="1"/>
    </row>
    <row r="1563" spans="1:11" x14ac:dyDescent="0.35">
      <c r="A1563" t="s">
        <v>2063</v>
      </c>
      <c r="B1563" t="s">
        <v>2064</v>
      </c>
      <c r="C1563">
        <v>122708</v>
      </c>
      <c r="D1563">
        <v>704</v>
      </c>
      <c r="E1563">
        <v>11200</v>
      </c>
      <c r="F1563">
        <v>28</v>
      </c>
      <c r="G1563">
        <v>85</v>
      </c>
      <c r="H1563" t="b">
        <v>1</v>
      </c>
      <c r="I1563">
        <f t="shared" si="48"/>
        <v>1</v>
      </c>
      <c r="J1563" t="str">
        <f t="shared" si="49"/>
        <v>601-750 (Good)</v>
      </c>
      <c r="K1563" s="1"/>
    </row>
    <row r="1564" spans="1:11" x14ac:dyDescent="0.35">
      <c r="A1564" t="s">
        <v>3234</v>
      </c>
      <c r="B1564" t="s">
        <v>3235</v>
      </c>
      <c r="C1564">
        <v>138794</v>
      </c>
      <c r="D1564">
        <v>839</v>
      </c>
      <c r="E1564">
        <v>11197</v>
      </c>
      <c r="F1564">
        <v>37</v>
      </c>
      <c r="G1564">
        <v>100</v>
      </c>
      <c r="H1564" t="b">
        <v>1</v>
      </c>
      <c r="I1564">
        <f t="shared" si="48"/>
        <v>1</v>
      </c>
      <c r="J1564" t="str">
        <f t="shared" si="49"/>
        <v>751-850 (Excellent)</v>
      </c>
      <c r="K1564" s="1"/>
    </row>
    <row r="1565" spans="1:11" x14ac:dyDescent="0.35">
      <c r="A1565" t="s">
        <v>15</v>
      </c>
      <c r="B1565" t="s">
        <v>16</v>
      </c>
      <c r="C1565">
        <v>33278</v>
      </c>
      <c r="D1565">
        <v>584</v>
      </c>
      <c r="E1565">
        <v>11189</v>
      </c>
      <c r="F1565">
        <v>13</v>
      </c>
      <c r="G1565">
        <v>45</v>
      </c>
      <c r="H1565" t="b">
        <v>0</v>
      </c>
      <c r="I1565">
        <f t="shared" si="48"/>
        <v>0</v>
      </c>
      <c r="J1565" t="str">
        <f t="shared" si="49"/>
        <v>451-600 (Fair)</v>
      </c>
      <c r="K1565" s="1"/>
    </row>
    <row r="1566" spans="1:11" x14ac:dyDescent="0.35">
      <c r="A1566" t="s">
        <v>679</v>
      </c>
      <c r="B1566" t="s">
        <v>680</v>
      </c>
      <c r="C1566">
        <v>143224</v>
      </c>
      <c r="D1566">
        <v>411</v>
      </c>
      <c r="E1566">
        <v>11184</v>
      </c>
      <c r="F1566">
        <v>6</v>
      </c>
      <c r="G1566">
        <v>55</v>
      </c>
      <c r="H1566" t="b">
        <v>0</v>
      </c>
      <c r="I1566">
        <f t="shared" si="48"/>
        <v>0</v>
      </c>
      <c r="J1566" t="str">
        <f t="shared" si="49"/>
        <v>300-450 (Poor)</v>
      </c>
      <c r="K1566" s="1"/>
    </row>
    <row r="1567" spans="1:11" x14ac:dyDescent="0.35">
      <c r="A1567" t="s">
        <v>1202</v>
      </c>
      <c r="B1567" t="s">
        <v>1203</v>
      </c>
      <c r="C1567">
        <v>136266</v>
      </c>
      <c r="D1567">
        <v>793</v>
      </c>
      <c r="E1567">
        <v>11183</v>
      </c>
      <c r="F1567">
        <v>40</v>
      </c>
      <c r="G1567">
        <v>95</v>
      </c>
      <c r="H1567" t="b">
        <v>1</v>
      </c>
      <c r="I1567">
        <f t="shared" si="48"/>
        <v>1</v>
      </c>
      <c r="J1567" t="str">
        <f t="shared" si="49"/>
        <v>751-850 (Excellent)</v>
      </c>
      <c r="K1567" s="1"/>
    </row>
    <row r="1568" spans="1:11" x14ac:dyDescent="0.35">
      <c r="A1568" t="s">
        <v>325</v>
      </c>
      <c r="B1568" t="s">
        <v>326</v>
      </c>
      <c r="C1568">
        <v>64438</v>
      </c>
      <c r="D1568">
        <v>685</v>
      </c>
      <c r="E1568">
        <v>11109</v>
      </c>
      <c r="F1568">
        <v>10</v>
      </c>
      <c r="G1568">
        <v>70</v>
      </c>
      <c r="H1568" t="b">
        <v>1</v>
      </c>
      <c r="I1568">
        <f t="shared" si="48"/>
        <v>1</v>
      </c>
      <c r="J1568" t="str">
        <f t="shared" si="49"/>
        <v>601-750 (Good)</v>
      </c>
      <c r="K1568" s="1"/>
    </row>
    <row r="1569" spans="1:11" x14ac:dyDescent="0.35">
      <c r="A1569" t="s">
        <v>540</v>
      </c>
      <c r="B1569" t="s">
        <v>541</v>
      </c>
      <c r="C1569">
        <v>99163</v>
      </c>
      <c r="D1569">
        <v>574</v>
      </c>
      <c r="E1569">
        <v>11107</v>
      </c>
      <c r="F1569">
        <v>24</v>
      </c>
      <c r="G1569">
        <v>50</v>
      </c>
      <c r="H1569" t="b">
        <v>0</v>
      </c>
      <c r="I1569">
        <f t="shared" si="48"/>
        <v>0</v>
      </c>
      <c r="J1569" t="str">
        <f t="shared" si="49"/>
        <v>451-600 (Fair)</v>
      </c>
      <c r="K1569" s="1"/>
    </row>
    <row r="1570" spans="1:11" x14ac:dyDescent="0.35">
      <c r="A1570" t="s">
        <v>1214</v>
      </c>
      <c r="B1570" t="s">
        <v>1215</v>
      </c>
      <c r="C1570">
        <v>44168</v>
      </c>
      <c r="D1570">
        <v>812</v>
      </c>
      <c r="E1570">
        <v>11097</v>
      </c>
      <c r="F1570">
        <v>12</v>
      </c>
      <c r="G1570">
        <v>70</v>
      </c>
      <c r="H1570" t="b">
        <v>1</v>
      </c>
      <c r="I1570">
        <f t="shared" si="48"/>
        <v>1</v>
      </c>
      <c r="J1570" t="str">
        <f t="shared" si="49"/>
        <v>751-850 (Excellent)</v>
      </c>
      <c r="K1570" s="1"/>
    </row>
    <row r="1571" spans="1:11" x14ac:dyDescent="0.35">
      <c r="A1571" t="s">
        <v>2972</v>
      </c>
      <c r="B1571" t="s">
        <v>2973</v>
      </c>
      <c r="C1571">
        <v>73515</v>
      </c>
      <c r="D1571">
        <v>366</v>
      </c>
      <c r="E1571">
        <v>11092</v>
      </c>
      <c r="F1571">
        <v>36</v>
      </c>
      <c r="G1571">
        <v>45</v>
      </c>
      <c r="H1571" t="b">
        <v>0</v>
      </c>
      <c r="I1571">
        <f t="shared" si="48"/>
        <v>0</v>
      </c>
      <c r="J1571" t="str">
        <f t="shared" si="49"/>
        <v>300-450 (Poor)</v>
      </c>
      <c r="K1571" s="1"/>
    </row>
    <row r="1572" spans="1:11" x14ac:dyDescent="0.35">
      <c r="A1572" t="s">
        <v>1837</v>
      </c>
      <c r="B1572" t="s">
        <v>1838</v>
      </c>
      <c r="C1572">
        <v>41003</v>
      </c>
      <c r="D1572">
        <v>579</v>
      </c>
      <c r="E1572">
        <v>11059</v>
      </c>
      <c r="F1572">
        <v>28</v>
      </c>
      <c r="G1572">
        <v>30</v>
      </c>
      <c r="H1572" t="b">
        <v>0</v>
      </c>
      <c r="I1572">
        <f t="shared" si="48"/>
        <v>0</v>
      </c>
      <c r="J1572" t="str">
        <f t="shared" si="49"/>
        <v>451-600 (Fair)</v>
      </c>
      <c r="K1572" s="1"/>
    </row>
    <row r="1573" spans="1:11" x14ac:dyDescent="0.35">
      <c r="A1573" t="s">
        <v>462</v>
      </c>
      <c r="B1573" t="s">
        <v>463</v>
      </c>
      <c r="C1573">
        <v>50032</v>
      </c>
      <c r="D1573">
        <v>789</v>
      </c>
      <c r="E1573">
        <v>11039</v>
      </c>
      <c r="F1573">
        <v>29</v>
      </c>
      <c r="G1573">
        <v>80</v>
      </c>
      <c r="H1573" t="b">
        <v>1</v>
      </c>
      <c r="I1573">
        <f t="shared" si="48"/>
        <v>1</v>
      </c>
      <c r="J1573" t="str">
        <f t="shared" si="49"/>
        <v>751-850 (Excellent)</v>
      </c>
      <c r="K1573" s="1"/>
    </row>
    <row r="1574" spans="1:11" x14ac:dyDescent="0.35">
      <c r="A1574" t="s">
        <v>1475</v>
      </c>
      <c r="B1574" t="s">
        <v>1476</v>
      </c>
      <c r="C1574">
        <v>41114</v>
      </c>
      <c r="D1574">
        <v>634</v>
      </c>
      <c r="E1574">
        <v>11009</v>
      </c>
      <c r="F1574">
        <v>19</v>
      </c>
      <c r="G1574">
        <v>45</v>
      </c>
      <c r="H1574" t="b">
        <v>0</v>
      </c>
      <c r="I1574">
        <f t="shared" si="48"/>
        <v>0</v>
      </c>
      <c r="J1574" t="str">
        <f t="shared" si="49"/>
        <v>601-750 (Good)</v>
      </c>
      <c r="K1574" s="1"/>
    </row>
    <row r="1575" spans="1:11" x14ac:dyDescent="0.35">
      <c r="A1575" t="s">
        <v>271</v>
      </c>
      <c r="B1575" t="s">
        <v>272</v>
      </c>
      <c r="C1575">
        <v>34207</v>
      </c>
      <c r="D1575">
        <v>683</v>
      </c>
      <c r="E1575">
        <v>11003</v>
      </c>
      <c r="F1575">
        <v>30</v>
      </c>
      <c r="G1575">
        <v>55</v>
      </c>
      <c r="H1575" t="b">
        <v>0</v>
      </c>
      <c r="I1575">
        <f t="shared" si="48"/>
        <v>0</v>
      </c>
      <c r="J1575" t="str">
        <f t="shared" si="49"/>
        <v>601-750 (Good)</v>
      </c>
      <c r="K1575" s="1"/>
    </row>
    <row r="1576" spans="1:11" x14ac:dyDescent="0.35">
      <c r="A1576" t="s">
        <v>311</v>
      </c>
      <c r="B1576" t="s">
        <v>312</v>
      </c>
      <c r="C1576">
        <v>48726</v>
      </c>
      <c r="D1576">
        <v>813</v>
      </c>
      <c r="E1576">
        <v>10886</v>
      </c>
      <c r="F1576">
        <v>3</v>
      </c>
      <c r="G1576">
        <v>65</v>
      </c>
      <c r="H1576" t="b">
        <v>1</v>
      </c>
      <c r="I1576">
        <f t="shared" si="48"/>
        <v>1</v>
      </c>
      <c r="J1576" t="str">
        <f t="shared" si="49"/>
        <v>751-850 (Excellent)</v>
      </c>
      <c r="K1576" s="1"/>
    </row>
    <row r="1577" spans="1:11" x14ac:dyDescent="0.35">
      <c r="A1577" t="s">
        <v>2941</v>
      </c>
      <c r="B1577" t="s">
        <v>2942</v>
      </c>
      <c r="C1577">
        <v>91993</v>
      </c>
      <c r="D1577">
        <v>502</v>
      </c>
      <c r="E1577">
        <v>10875</v>
      </c>
      <c r="F1577">
        <v>26</v>
      </c>
      <c r="G1577">
        <v>50</v>
      </c>
      <c r="H1577" t="b">
        <v>0</v>
      </c>
      <c r="I1577">
        <f t="shared" si="48"/>
        <v>0</v>
      </c>
      <c r="J1577" t="str">
        <f t="shared" si="49"/>
        <v>451-600 (Fair)</v>
      </c>
      <c r="K1577" s="1"/>
    </row>
    <row r="1578" spans="1:11" x14ac:dyDescent="0.35">
      <c r="A1578" t="s">
        <v>2674</v>
      </c>
      <c r="B1578" t="s">
        <v>2675</v>
      </c>
      <c r="C1578">
        <v>73228</v>
      </c>
      <c r="D1578">
        <v>529</v>
      </c>
      <c r="E1578">
        <v>10836</v>
      </c>
      <c r="F1578">
        <v>17</v>
      </c>
      <c r="G1578">
        <v>45</v>
      </c>
      <c r="H1578" t="b">
        <v>0</v>
      </c>
      <c r="I1578">
        <f t="shared" si="48"/>
        <v>0</v>
      </c>
      <c r="J1578" t="str">
        <f t="shared" si="49"/>
        <v>451-600 (Fair)</v>
      </c>
      <c r="K1578" s="1"/>
    </row>
    <row r="1579" spans="1:11" x14ac:dyDescent="0.35">
      <c r="A1579" t="s">
        <v>659</v>
      </c>
      <c r="B1579" t="s">
        <v>660</v>
      </c>
      <c r="C1579">
        <v>83354</v>
      </c>
      <c r="D1579">
        <v>692</v>
      </c>
      <c r="E1579">
        <v>10835</v>
      </c>
      <c r="F1579">
        <v>11</v>
      </c>
      <c r="G1579">
        <v>75</v>
      </c>
      <c r="H1579" t="b">
        <v>1</v>
      </c>
      <c r="I1579">
        <f t="shared" si="48"/>
        <v>1</v>
      </c>
      <c r="J1579" t="str">
        <f t="shared" si="49"/>
        <v>601-750 (Good)</v>
      </c>
      <c r="K1579" s="1"/>
    </row>
    <row r="1580" spans="1:11" x14ac:dyDescent="0.35">
      <c r="A1580" t="s">
        <v>3417</v>
      </c>
      <c r="B1580" t="s">
        <v>3418</v>
      </c>
      <c r="C1580">
        <v>77942</v>
      </c>
      <c r="D1580">
        <v>842</v>
      </c>
      <c r="E1580">
        <v>10827</v>
      </c>
      <c r="F1580">
        <v>25</v>
      </c>
      <c r="G1580">
        <v>90</v>
      </c>
      <c r="H1580" t="b">
        <v>1</v>
      </c>
      <c r="I1580">
        <f t="shared" si="48"/>
        <v>1</v>
      </c>
      <c r="J1580" t="str">
        <f t="shared" si="49"/>
        <v>751-850 (Excellent)</v>
      </c>
      <c r="K1580" s="1"/>
    </row>
    <row r="1581" spans="1:11" x14ac:dyDescent="0.35">
      <c r="A1581" t="s">
        <v>2087</v>
      </c>
      <c r="B1581" t="s">
        <v>2088</v>
      </c>
      <c r="C1581">
        <v>93372</v>
      </c>
      <c r="D1581">
        <v>302</v>
      </c>
      <c r="E1581">
        <v>10741</v>
      </c>
      <c r="F1581">
        <v>9</v>
      </c>
      <c r="G1581">
        <v>45</v>
      </c>
      <c r="H1581" t="b">
        <v>0</v>
      </c>
      <c r="I1581">
        <f t="shared" si="48"/>
        <v>0</v>
      </c>
      <c r="J1581" t="str">
        <f t="shared" si="49"/>
        <v>300-450 (Poor)</v>
      </c>
      <c r="K1581" s="1"/>
    </row>
    <row r="1582" spans="1:11" x14ac:dyDescent="0.35">
      <c r="A1582" t="s">
        <v>1611</v>
      </c>
      <c r="B1582" t="s">
        <v>1612</v>
      </c>
      <c r="C1582">
        <v>146840</v>
      </c>
      <c r="D1582">
        <v>774</v>
      </c>
      <c r="E1582">
        <v>10710</v>
      </c>
      <c r="F1582">
        <v>30</v>
      </c>
      <c r="G1582">
        <v>95</v>
      </c>
      <c r="H1582" t="b">
        <v>1</v>
      </c>
      <c r="I1582">
        <f t="shared" si="48"/>
        <v>1</v>
      </c>
      <c r="J1582" t="str">
        <f t="shared" si="49"/>
        <v>751-850 (Excellent)</v>
      </c>
      <c r="K1582" s="1"/>
    </row>
    <row r="1583" spans="1:11" x14ac:dyDescent="0.35">
      <c r="A1583" t="s">
        <v>2662</v>
      </c>
      <c r="B1583" t="s">
        <v>2663</v>
      </c>
      <c r="C1583">
        <v>73687</v>
      </c>
      <c r="D1583">
        <v>443</v>
      </c>
      <c r="E1583">
        <v>10700</v>
      </c>
      <c r="F1583">
        <v>33</v>
      </c>
      <c r="G1583">
        <v>45</v>
      </c>
      <c r="H1583" t="b">
        <v>0</v>
      </c>
      <c r="I1583">
        <f t="shared" si="48"/>
        <v>0</v>
      </c>
      <c r="J1583" t="str">
        <f t="shared" si="49"/>
        <v>300-450 (Poor)</v>
      </c>
      <c r="K1583" s="1"/>
    </row>
    <row r="1584" spans="1:11" x14ac:dyDescent="0.35">
      <c r="A1584" t="s">
        <v>3401</v>
      </c>
      <c r="B1584" t="s">
        <v>3402</v>
      </c>
      <c r="C1584">
        <v>142740</v>
      </c>
      <c r="D1584">
        <v>830</v>
      </c>
      <c r="E1584">
        <v>10687</v>
      </c>
      <c r="F1584">
        <v>39</v>
      </c>
      <c r="G1584">
        <v>100</v>
      </c>
      <c r="H1584" t="b">
        <v>1</v>
      </c>
      <c r="I1584">
        <f t="shared" si="48"/>
        <v>1</v>
      </c>
      <c r="J1584" t="str">
        <f t="shared" si="49"/>
        <v>751-850 (Excellent)</v>
      </c>
      <c r="K1584" s="1"/>
    </row>
    <row r="1585" spans="1:11" x14ac:dyDescent="0.35">
      <c r="A1585" t="s">
        <v>1937</v>
      </c>
      <c r="B1585" t="s">
        <v>834</v>
      </c>
      <c r="C1585">
        <v>58569</v>
      </c>
      <c r="D1585">
        <v>766</v>
      </c>
      <c r="E1585">
        <v>10661</v>
      </c>
      <c r="F1585">
        <v>38</v>
      </c>
      <c r="G1585">
        <v>80</v>
      </c>
      <c r="H1585" t="b">
        <v>1</v>
      </c>
      <c r="I1585">
        <f t="shared" si="48"/>
        <v>1</v>
      </c>
      <c r="J1585" t="str">
        <f t="shared" si="49"/>
        <v>751-850 (Excellent)</v>
      </c>
      <c r="K1585" s="1"/>
    </row>
    <row r="1586" spans="1:11" x14ac:dyDescent="0.35">
      <c r="A1586" t="s">
        <v>1753</v>
      </c>
      <c r="B1586" t="s">
        <v>1754</v>
      </c>
      <c r="C1586">
        <v>30772</v>
      </c>
      <c r="D1586">
        <v>449</v>
      </c>
      <c r="E1586">
        <v>10660</v>
      </c>
      <c r="F1586">
        <v>30</v>
      </c>
      <c r="G1586">
        <v>30</v>
      </c>
      <c r="H1586" t="b">
        <v>0</v>
      </c>
      <c r="I1586">
        <f t="shared" si="48"/>
        <v>0</v>
      </c>
      <c r="J1586" t="str">
        <f t="shared" si="49"/>
        <v>300-450 (Poor)</v>
      </c>
      <c r="K1586" s="1"/>
    </row>
    <row r="1587" spans="1:11" x14ac:dyDescent="0.35">
      <c r="A1587" t="s">
        <v>2079</v>
      </c>
      <c r="B1587" t="s">
        <v>2080</v>
      </c>
      <c r="C1587">
        <v>110728</v>
      </c>
      <c r="D1587">
        <v>694</v>
      </c>
      <c r="E1587">
        <v>10658</v>
      </c>
      <c r="F1587">
        <v>22</v>
      </c>
      <c r="G1587">
        <v>85</v>
      </c>
      <c r="H1587" t="b">
        <v>1</v>
      </c>
      <c r="I1587">
        <f t="shared" si="48"/>
        <v>1</v>
      </c>
      <c r="J1587" t="str">
        <f t="shared" si="49"/>
        <v>601-750 (Good)</v>
      </c>
      <c r="K1587" s="1"/>
    </row>
    <row r="1588" spans="1:11" x14ac:dyDescent="0.35">
      <c r="A1588" t="s">
        <v>2249</v>
      </c>
      <c r="B1588" t="s">
        <v>2250</v>
      </c>
      <c r="C1588">
        <v>45814</v>
      </c>
      <c r="D1588">
        <v>404</v>
      </c>
      <c r="E1588">
        <v>10652</v>
      </c>
      <c r="F1588">
        <v>29</v>
      </c>
      <c r="G1588">
        <v>35</v>
      </c>
      <c r="H1588" t="b">
        <v>0</v>
      </c>
      <c r="I1588">
        <f t="shared" si="48"/>
        <v>0</v>
      </c>
      <c r="J1588" t="str">
        <f t="shared" si="49"/>
        <v>300-450 (Poor)</v>
      </c>
      <c r="K1588" s="1"/>
    </row>
    <row r="1589" spans="1:11" x14ac:dyDescent="0.35">
      <c r="A1589" t="s">
        <v>2666</v>
      </c>
      <c r="B1589" t="s">
        <v>2667</v>
      </c>
      <c r="C1589">
        <v>117835</v>
      </c>
      <c r="D1589">
        <v>431</v>
      </c>
      <c r="E1589">
        <v>10602</v>
      </c>
      <c r="F1589">
        <v>38</v>
      </c>
      <c r="G1589">
        <v>60</v>
      </c>
      <c r="H1589" t="b">
        <v>1</v>
      </c>
      <c r="I1589">
        <f t="shared" si="48"/>
        <v>1</v>
      </c>
      <c r="J1589" t="str">
        <f t="shared" si="49"/>
        <v>300-450 (Poor)</v>
      </c>
      <c r="K1589" s="1"/>
    </row>
    <row r="1590" spans="1:11" x14ac:dyDescent="0.35">
      <c r="A1590" t="s">
        <v>3130</v>
      </c>
      <c r="B1590" t="s">
        <v>3131</v>
      </c>
      <c r="C1590">
        <v>52946</v>
      </c>
      <c r="D1590">
        <v>372</v>
      </c>
      <c r="E1590">
        <v>10575</v>
      </c>
      <c r="F1590">
        <v>8</v>
      </c>
      <c r="G1590">
        <v>40</v>
      </c>
      <c r="H1590" t="b">
        <v>0</v>
      </c>
      <c r="I1590">
        <f t="shared" si="48"/>
        <v>0</v>
      </c>
      <c r="J1590" t="str">
        <f t="shared" si="49"/>
        <v>300-450 (Poor)</v>
      </c>
      <c r="K1590" s="1"/>
    </row>
    <row r="1591" spans="1:11" x14ac:dyDescent="0.35">
      <c r="A1591" t="s">
        <v>2657</v>
      </c>
      <c r="B1591" t="s">
        <v>2658</v>
      </c>
      <c r="C1591">
        <v>91605</v>
      </c>
      <c r="D1591">
        <v>406</v>
      </c>
      <c r="E1591">
        <v>10567</v>
      </c>
      <c r="F1591">
        <v>16</v>
      </c>
      <c r="G1591">
        <v>50</v>
      </c>
      <c r="H1591" t="b">
        <v>0</v>
      </c>
      <c r="I1591">
        <f t="shared" si="48"/>
        <v>0</v>
      </c>
      <c r="J1591" t="str">
        <f t="shared" si="49"/>
        <v>300-450 (Poor)</v>
      </c>
      <c r="K1591" s="1"/>
    </row>
    <row r="1592" spans="1:11" x14ac:dyDescent="0.35">
      <c r="A1592" t="s">
        <v>3214</v>
      </c>
      <c r="B1592" t="s">
        <v>2020</v>
      </c>
      <c r="C1592">
        <v>93335</v>
      </c>
      <c r="D1592">
        <v>551</v>
      </c>
      <c r="E1592">
        <v>10537</v>
      </c>
      <c r="F1592">
        <v>40</v>
      </c>
      <c r="G1592">
        <v>50</v>
      </c>
      <c r="H1592" t="b">
        <v>0</v>
      </c>
      <c r="I1592">
        <f t="shared" si="48"/>
        <v>0</v>
      </c>
      <c r="J1592" t="str">
        <f t="shared" si="49"/>
        <v>451-600 (Fair)</v>
      </c>
      <c r="K1592" s="1"/>
    </row>
    <row r="1593" spans="1:11" x14ac:dyDescent="0.35">
      <c r="A1593" t="s">
        <v>1181</v>
      </c>
      <c r="B1593" t="s">
        <v>1182</v>
      </c>
      <c r="C1593">
        <v>84040</v>
      </c>
      <c r="D1593">
        <v>337</v>
      </c>
      <c r="E1593">
        <v>10527</v>
      </c>
      <c r="F1593">
        <v>2</v>
      </c>
      <c r="G1593">
        <v>40</v>
      </c>
      <c r="H1593" t="b">
        <v>0</v>
      </c>
      <c r="I1593">
        <f t="shared" si="48"/>
        <v>0</v>
      </c>
      <c r="J1593" t="str">
        <f t="shared" si="49"/>
        <v>300-450 (Poor)</v>
      </c>
      <c r="K1593" s="1"/>
    </row>
    <row r="1594" spans="1:11" x14ac:dyDescent="0.35">
      <c r="A1594" t="s">
        <v>978</v>
      </c>
      <c r="B1594" t="s">
        <v>979</v>
      </c>
      <c r="C1594">
        <v>101200</v>
      </c>
      <c r="D1594">
        <v>393</v>
      </c>
      <c r="E1594">
        <v>10524</v>
      </c>
      <c r="F1594">
        <v>30</v>
      </c>
      <c r="G1594">
        <v>55</v>
      </c>
      <c r="H1594" t="b">
        <v>0</v>
      </c>
      <c r="I1594">
        <f t="shared" si="48"/>
        <v>0</v>
      </c>
      <c r="J1594" t="str">
        <f t="shared" si="49"/>
        <v>300-450 (Poor)</v>
      </c>
      <c r="K1594" s="1"/>
    </row>
    <row r="1595" spans="1:11" x14ac:dyDescent="0.35">
      <c r="A1595" t="s">
        <v>3485</v>
      </c>
      <c r="B1595" t="s">
        <v>3486</v>
      </c>
      <c r="C1595">
        <v>121891</v>
      </c>
      <c r="D1595">
        <v>602</v>
      </c>
      <c r="E1595">
        <v>10514</v>
      </c>
      <c r="F1595">
        <v>34</v>
      </c>
      <c r="G1595">
        <v>75</v>
      </c>
      <c r="H1595" t="b">
        <v>1</v>
      </c>
      <c r="I1595">
        <f t="shared" si="48"/>
        <v>1</v>
      </c>
      <c r="J1595" t="str">
        <f t="shared" si="49"/>
        <v>601-750 (Good)</v>
      </c>
      <c r="K1595" s="1"/>
    </row>
    <row r="1596" spans="1:11" x14ac:dyDescent="0.35">
      <c r="A1596" t="s">
        <v>1529</v>
      </c>
      <c r="B1596" t="s">
        <v>1530</v>
      </c>
      <c r="C1596">
        <v>146147</v>
      </c>
      <c r="D1596">
        <v>584</v>
      </c>
      <c r="E1596">
        <v>10496</v>
      </c>
      <c r="F1596">
        <v>23</v>
      </c>
      <c r="G1596">
        <v>75</v>
      </c>
      <c r="H1596" t="b">
        <v>1</v>
      </c>
      <c r="I1596">
        <f t="shared" si="48"/>
        <v>1</v>
      </c>
      <c r="J1596" t="str">
        <f t="shared" si="49"/>
        <v>451-600 (Fair)</v>
      </c>
      <c r="K1596" s="1"/>
    </row>
    <row r="1597" spans="1:11" x14ac:dyDescent="0.35">
      <c r="A1597" t="s">
        <v>1772</v>
      </c>
      <c r="B1597" t="s">
        <v>1773</v>
      </c>
      <c r="C1597">
        <v>127978</v>
      </c>
      <c r="D1597">
        <v>421</v>
      </c>
      <c r="E1597">
        <v>10465</v>
      </c>
      <c r="F1597">
        <v>8</v>
      </c>
      <c r="G1597">
        <v>55</v>
      </c>
      <c r="H1597" t="b">
        <v>0</v>
      </c>
      <c r="I1597">
        <f t="shared" si="48"/>
        <v>0</v>
      </c>
      <c r="J1597" t="str">
        <f t="shared" si="49"/>
        <v>300-450 (Poor)</v>
      </c>
      <c r="K1597" s="1"/>
    </row>
    <row r="1598" spans="1:11" x14ac:dyDescent="0.35">
      <c r="A1598" t="s">
        <v>1669</v>
      </c>
      <c r="B1598" t="s">
        <v>1670</v>
      </c>
      <c r="C1598">
        <v>65992</v>
      </c>
      <c r="D1598">
        <v>466</v>
      </c>
      <c r="E1598">
        <v>10459</v>
      </c>
      <c r="F1598">
        <v>32</v>
      </c>
      <c r="G1598">
        <v>45</v>
      </c>
      <c r="H1598" t="b">
        <v>0</v>
      </c>
      <c r="I1598">
        <f t="shared" si="48"/>
        <v>0</v>
      </c>
      <c r="J1598" t="str">
        <f t="shared" si="49"/>
        <v>451-600 (Fair)</v>
      </c>
      <c r="K1598" s="1"/>
    </row>
    <row r="1599" spans="1:11" x14ac:dyDescent="0.35">
      <c r="A1599" t="s">
        <v>757</v>
      </c>
      <c r="B1599" t="s">
        <v>758</v>
      </c>
      <c r="C1599">
        <v>141240</v>
      </c>
      <c r="D1599">
        <v>712</v>
      </c>
      <c r="E1599">
        <v>10427</v>
      </c>
      <c r="F1599">
        <v>39</v>
      </c>
      <c r="G1599">
        <v>85</v>
      </c>
      <c r="H1599" t="b">
        <v>1</v>
      </c>
      <c r="I1599">
        <f t="shared" si="48"/>
        <v>1</v>
      </c>
      <c r="J1599" t="str">
        <f t="shared" si="49"/>
        <v>601-750 (Good)</v>
      </c>
      <c r="K1599" s="1"/>
    </row>
    <row r="1600" spans="1:11" x14ac:dyDescent="0.35">
      <c r="A1600" t="s">
        <v>2524</v>
      </c>
      <c r="B1600" t="s">
        <v>2525</v>
      </c>
      <c r="C1600">
        <v>101376</v>
      </c>
      <c r="D1600">
        <v>450</v>
      </c>
      <c r="E1600">
        <v>10393</v>
      </c>
      <c r="F1600">
        <v>10</v>
      </c>
      <c r="G1600">
        <v>55</v>
      </c>
      <c r="H1600" t="b">
        <v>0</v>
      </c>
      <c r="I1600">
        <f t="shared" si="48"/>
        <v>0</v>
      </c>
      <c r="J1600" t="str">
        <f t="shared" si="49"/>
        <v>300-450 (Poor)</v>
      </c>
      <c r="K1600" s="1"/>
    </row>
    <row r="1601" spans="1:11" x14ac:dyDescent="0.35">
      <c r="A1601" t="s">
        <v>1701</v>
      </c>
      <c r="B1601" t="s">
        <v>1702</v>
      </c>
      <c r="C1601">
        <v>50028</v>
      </c>
      <c r="D1601">
        <v>508</v>
      </c>
      <c r="E1601">
        <v>10330</v>
      </c>
      <c r="F1601">
        <v>23</v>
      </c>
      <c r="G1601">
        <v>45</v>
      </c>
      <c r="H1601" t="b">
        <v>0</v>
      </c>
      <c r="I1601">
        <f t="shared" si="48"/>
        <v>0</v>
      </c>
      <c r="J1601" t="str">
        <f t="shared" si="49"/>
        <v>451-600 (Fair)</v>
      </c>
      <c r="K1601" s="1"/>
    </row>
    <row r="1602" spans="1:11" x14ac:dyDescent="0.35">
      <c r="A1602" t="s">
        <v>3753</v>
      </c>
      <c r="B1602" t="s">
        <v>3754</v>
      </c>
      <c r="C1602">
        <v>116363</v>
      </c>
      <c r="D1602">
        <v>695</v>
      </c>
      <c r="E1602">
        <v>10328</v>
      </c>
      <c r="F1602">
        <v>10</v>
      </c>
      <c r="G1602">
        <v>85</v>
      </c>
      <c r="H1602" t="b">
        <v>1</v>
      </c>
      <c r="I1602">
        <f t="shared" si="48"/>
        <v>1</v>
      </c>
      <c r="J1602" t="str">
        <f t="shared" si="49"/>
        <v>601-750 (Good)</v>
      </c>
      <c r="K1602" s="1"/>
    </row>
    <row r="1603" spans="1:11" x14ac:dyDescent="0.35">
      <c r="A1603" t="s">
        <v>183</v>
      </c>
      <c r="B1603" t="s">
        <v>184</v>
      </c>
      <c r="C1603">
        <v>67930</v>
      </c>
      <c r="D1603">
        <v>572</v>
      </c>
      <c r="E1603">
        <v>10321</v>
      </c>
      <c r="F1603">
        <v>4</v>
      </c>
      <c r="G1603">
        <v>35</v>
      </c>
      <c r="H1603" t="b">
        <v>0</v>
      </c>
      <c r="I1603">
        <f t="shared" si="48"/>
        <v>0</v>
      </c>
      <c r="J1603" t="str">
        <f t="shared" si="49"/>
        <v>451-600 (Fair)</v>
      </c>
      <c r="K1603" s="1"/>
    </row>
    <row r="1604" spans="1:11" x14ac:dyDescent="0.35">
      <c r="A1604" t="s">
        <v>610</v>
      </c>
      <c r="B1604" t="s">
        <v>611</v>
      </c>
      <c r="C1604">
        <v>37716</v>
      </c>
      <c r="D1604">
        <v>801</v>
      </c>
      <c r="E1604">
        <v>10317</v>
      </c>
      <c r="F1604">
        <v>36</v>
      </c>
      <c r="G1604">
        <v>70</v>
      </c>
      <c r="H1604" t="b">
        <v>1</v>
      </c>
      <c r="I1604">
        <f t="shared" ref="I1604:I1667" si="50">--H1604</f>
        <v>1</v>
      </c>
      <c r="J1604" t="str">
        <f t="shared" ref="J1604:J1667" si="51">IF(D1604&gt;750, "751-850 (Excellent)", IF(D1604&gt;600, "601-750 (Good)", IF(D1604&gt;450, "451-600 (Fair)", "300-450 (Poor)")))</f>
        <v>751-850 (Excellent)</v>
      </c>
      <c r="K1604" s="1"/>
    </row>
    <row r="1605" spans="1:11" x14ac:dyDescent="0.35">
      <c r="A1605" t="s">
        <v>1675</v>
      </c>
      <c r="B1605" t="s">
        <v>1676</v>
      </c>
      <c r="C1605">
        <v>123525</v>
      </c>
      <c r="D1605">
        <v>446</v>
      </c>
      <c r="E1605">
        <v>10315</v>
      </c>
      <c r="F1605">
        <v>37</v>
      </c>
      <c r="G1605">
        <v>60</v>
      </c>
      <c r="H1605" t="b">
        <v>1</v>
      </c>
      <c r="I1605">
        <f t="shared" si="50"/>
        <v>1</v>
      </c>
      <c r="J1605" t="str">
        <f t="shared" si="51"/>
        <v>300-450 (Poor)</v>
      </c>
      <c r="K1605" s="1"/>
    </row>
    <row r="1606" spans="1:11" x14ac:dyDescent="0.35">
      <c r="A1606" t="s">
        <v>2659</v>
      </c>
      <c r="B1606" t="s">
        <v>194</v>
      </c>
      <c r="C1606">
        <v>75607</v>
      </c>
      <c r="D1606">
        <v>647</v>
      </c>
      <c r="E1606">
        <v>10302</v>
      </c>
      <c r="F1606">
        <v>15</v>
      </c>
      <c r="G1606">
        <v>65</v>
      </c>
      <c r="H1606" t="b">
        <v>1</v>
      </c>
      <c r="I1606">
        <f t="shared" si="50"/>
        <v>1</v>
      </c>
      <c r="J1606" t="str">
        <f t="shared" si="51"/>
        <v>601-750 (Good)</v>
      </c>
      <c r="K1606" s="1"/>
    </row>
    <row r="1607" spans="1:11" x14ac:dyDescent="0.35">
      <c r="A1607" t="s">
        <v>2194</v>
      </c>
      <c r="B1607" t="s">
        <v>2195</v>
      </c>
      <c r="C1607">
        <v>94332</v>
      </c>
      <c r="D1607">
        <v>409</v>
      </c>
      <c r="E1607">
        <v>10295</v>
      </c>
      <c r="F1607">
        <v>18</v>
      </c>
      <c r="G1607">
        <v>50</v>
      </c>
      <c r="H1607" t="b">
        <v>0</v>
      </c>
      <c r="I1607">
        <f t="shared" si="50"/>
        <v>0</v>
      </c>
      <c r="J1607" t="str">
        <f t="shared" si="51"/>
        <v>300-450 (Poor)</v>
      </c>
      <c r="K1607" s="1"/>
    </row>
    <row r="1608" spans="1:11" x14ac:dyDescent="0.35">
      <c r="A1608" t="s">
        <v>2149</v>
      </c>
      <c r="B1608" t="s">
        <v>2150</v>
      </c>
      <c r="C1608">
        <v>74608</v>
      </c>
      <c r="D1608">
        <v>385</v>
      </c>
      <c r="E1608">
        <v>10288</v>
      </c>
      <c r="F1608">
        <v>4</v>
      </c>
      <c r="G1608">
        <v>35</v>
      </c>
      <c r="H1608" t="b">
        <v>0</v>
      </c>
      <c r="I1608">
        <f t="shared" si="50"/>
        <v>0</v>
      </c>
      <c r="J1608" t="str">
        <f t="shared" si="51"/>
        <v>300-450 (Poor)</v>
      </c>
      <c r="K1608" s="1"/>
    </row>
    <row r="1609" spans="1:11" x14ac:dyDescent="0.35">
      <c r="A1609" t="s">
        <v>2510</v>
      </c>
      <c r="B1609" t="s">
        <v>2511</v>
      </c>
      <c r="C1609">
        <v>133710</v>
      </c>
      <c r="D1609">
        <v>469</v>
      </c>
      <c r="E1609">
        <v>10274</v>
      </c>
      <c r="F1609">
        <v>18</v>
      </c>
      <c r="G1609">
        <v>60</v>
      </c>
      <c r="H1609" t="b">
        <v>1</v>
      </c>
      <c r="I1609">
        <f t="shared" si="50"/>
        <v>1</v>
      </c>
      <c r="J1609" t="str">
        <f t="shared" si="51"/>
        <v>451-600 (Fair)</v>
      </c>
      <c r="K1609" s="1"/>
    </row>
    <row r="1610" spans="1:11" x14ac:dyDescent="0.35">
      <c r="A1610" t="s">
        <v>3428</v>
      </c>
      <c r="B1610" t="s">
        <v>3429</v>
      </c>
      <c r="C1610">
        <v>100329</v>
      </c>
      <c r="D1610">
        <v>367</v>
      </c>
      <c r="E1610">
        <v>10273</v>
      </c>
      <c r="F1610">
        <v>25</v>
      </c>
      <c r="G1610">
        <v>55</v>
      </c>
      <c r="H1610" t="b">
        <v>0</v>
      </c>
      <c r="I1610">
        <f t="shared" si="50"/>
        <v>0</v>
      </c>
      <c r="J1610" t="str">
        <f t="shared" si="51"/>
        <v>300-450 (Poor)</v>
      </c>
      <c r="K1610" s="1"/>
    </row>
    <row r="1611" spans="1:11" x14ac:dyDescent="0.35">
      <c r="A1611" t="s">
        <v>2752</v>
      </c>
      <c r="B1611" t="s">
        <v>2753</v>
      </c>
      <c r="C1611">
        <v>101987</v>
      </c>
      <c r="D1611">
        <v>346</v>
      </c>
      <c r="E1611">
        <v>10223</v>
      </c>
      <c r="F1611">
        <v>15</v>
      </c>
      <c r="G1611">
        <v>55</v>
      </c>
      <c r="H1611" t="b">
        <v>0</v>
      </c>
      <c r="I1611">
        <f t="shared" si="50"/>
        <v>0</v>
      </c>
      <c r="J1611" t="str">
        <f t="shared" si="51"/>
        <v>300-450 (Poor)</v>
      </c>
      <c r="K1611" s="1"/>
    </row>
    <row r="1612" spans="1:11" x14ac:dyDescent="0.35">
      <c r="A1612" t="s">
        <v>721</v>
      </c>
      <c r="B1612" t="s">
        <v>722</v>
      </c>
      <c r="C1612">
        <v>54050</v>
      </c>
      <c r="D1612">
        <v>808</v>
      </c>
      <c r="E1612">
        <v>10217</v>
      </c>
      <c r="F1612">
        <v>21</v>
      </c>
      <c r="G1612">
        <v>85</v>
      </c>
      <c r="H1612" t="b">
        <v>1</v>
      </c>
      <c r="I1612">
        <f t="shared" si="50"/>
        <v>1</v>
      </c>
      <c r="J1612" t="str">
        <f t="shared" si="51"/>
        <v>751-850 (Excellent)</v>
      </c>
      <c r="K1612" s="1"/>
    </row>
    <row r="1613" spans="1:11" x14ac:dyDescent="0.35">
      <c r="A1613" t="s">
        <v>2720</v>
      </c>
      <c r="B1613" t="s">
        <v>2721</v>
      </c>
      <c r="C1613">
        <v>143949</v>
      </c>
      <c r="D1613">
        <v>322</v>
      </c>
      <c r="E1613">
        <v>10205</v>
      </c>
      <c r="F1613">
        <v>4</v>
      </c>
      <c r="G1613">
        <v>50</v>
      </c>
      <c r="H1613" t="b">
        <v>0</v>
      </c>
      <c r="I1613">
        <f t="shared" si="50"/>
        <v>0</v>
      </c>
      <c r="J1613" t="str">
        <f t="shared" si="51"/>
        <v>300-450 (Poor)</v>
      </c>
      <c r="K1613" s="1"/>
    </row>
    <row r="1614" spans="1:11" x14ac:dyDescent="0.35">
      <c r="A1614" t="s">
        <v>3573</v>
      </c>
      <c r="B1614" t="s">
        <v>3574</v>
      </c>
      <c r="C1614">
        <v>43022</v>
      </c>
      <c r="D1614">
        <v>500</v>
      </c>
      <c r="E1614">
        <v>10198</v>
      </c>
      <c r="F1614">
        <v>22</v>
      </c>
      <c r="G1614">
        <v>35</v>
      </c>
      <c r="H1614" t="b">
        <v>0</v>
      </c>
      <c r="I1614">
        <f t="shared" si="50"/>
        <v>0</v>
      </c>
      <c r="J1614" t="str">
        <f t="shared" si="51"/>
        <v>451-600 (Fair)</v>
      </c>
      <c r="K1614" s="1"/>
    </row>
    <row r="1615" spans="1:11" x14ac:dyDescent="0.35">
      <c r="A1615" t="s">
        <v>926</v>
      </c>
      <c r="B1615" t="s">
        <v>927</v>
      </c>
      <c r="C1615">
        <v>69321</v>
      </c>
      <c r="D1615">
        <v>587</v>
      </c>
      <c r="E1615">
        <v>10175</v>
      </c>
      <c r="F1615">
        <v>34</v>
      </c>
      <c r="G1615">
        <v>60</v>
      </c>
      <c r="H1615" t="b">
        <v>1</v>
      </c>
      <c r="I1615">
        <f t="shared" si="50"/>
        <v>1</v>
      </c>
      <c r="J1615" t="str">
        <f t="shared" si="51"/>
        <v>451-600 (Fair)</v>
      </c>
      <c r="K1615" s="1"/>
    </row>
    <row r="1616" spans="1:11" x14ac:dyDescent="0.35">
      <c r="A1616" t="s">
        <v>512</v>
      </c>
      <c r="B1616" t="s">
        <v>513</v>
      </c>
      <c r="C1616">
        <v>125932</v>
      </c>
      <c r="D1616">
        <v>473</v>
      </c>
      <c r="E1616">
        <v>10172</v>
      </c>
      <c r="F1616">
        <v>34</v>
      </c>
      <c r="G1616">
        <v>60</v>
      </c>
      <c r="H1616" t="b">
        <v>1</v>
      </c>
      <c r="I1616">
        <f t="shared" si="50"/>
        <v>1</v>
      </c>
      <c r="J1616" t="str">
        <f t="shared" si="51"/>
        <v>451-600 (Fair)</v>
      </c>
      <c r="K1616" s="1"/>
    </row>
    <row r="1617" spans="1:11" x14ac:dyDescent="0.35">
      <c r="A1617" t="s">
        <v>2015</v>
      </c>
      <c r="B1617" t="s">
        <v>2016</v>
      </c>
      <c r="C1617">
        <v>45866</v>
      </c>
      <c r="D1617">
        <v>465</v>
      </c>
      <c r="E1617">
        <v>10166</v>
      </c>
      <c r="F1617">
        <v>22</v>
      </c>
      <c r="G1617">
        <v>35</v>
      </c>
      <c r="H1617" t="b">
        <v>0</v>
      </c>
      <c r="I1617">
        <f t="shared" si="50"/>
        <v>0</v>
      </c>
      <c r="J1617" t="str">
        <f t="shared" si="51"/>
        <v>451-600 (Fair)</v>
      </c>
      <c r="K1617" s="1"/>
    </row>
    <row r="1618" spans="1:11" x14ac:dyDescent="0.35">
      <c r="A1618" t="s">
        <v>416</v>
      </c>
      <c r="B1618" t="s">
        <v>417</v>
      </c>
      <c r="C1618">
        <v>68469</v>
      </c>
      <c r="D1618">
        <v>827</v>
      </c>
      <c r="E1618">
        <v>10160</v>
      </c>
      <c r="F1618">
        <v>20</v>
      </c>
      <c r="G1618">
        <v>85</v>
      </c>
      <c r="H1618" t="b">
        <v>1</v>
      </c>
      <c r="I1618">
        <f t="shared" si="50"/>
        <v>1</v>
      </c>
      <c r="J1618" t="str">
        <f t="shared" si="51"/>
        <v>751-850 (Excellent)</v>
      </c>
      <c r="K1618" s="1"/>
    </row>
    <row r="1619" spans="1:11" x14ac:dyDescent="0.35">
      <c r="A1619" t="s">
        <v>1805</v>
      </c>
      <c r="B1619" t="s">
        <v>1806</v>
      </c>
      <c r="C1619">
        <v>134614</v>
      </c>
      <c r="D1619">
        <v>332</v>
      </c>
      <c r="E1619">
        <v>10118</v>
      </c>
      <c r="F1619">
        <v>9</v>
      </c>
      <c r="G1619">
        <v>55</v>
      </c>
      <c r="H1619" t="b">
        <v>0</v>
      </c>
      <c r="I1619">
        <f t="shared" si="50"/>
        <v>0</v>
      </c>
      <c r="J1619" t="str">
        <f t="shared" si="51"/>
        <v>300-450 (Poor)</v>
      </c>
      <c r="K1619" s="1"/>
    </row>
    <row r="1620" spans="1:11" x14ac:dyDescent="0.35">
      <c r="A1620" t="s">
        <v>380</v>
      </c>
      <c r="B1620" t="s">
        <v>381</v>
      </c>
      <c r="C1620">
        <v>91348</v>
      </c>
      <c r="D1620">
        <v>505</v>
      </c>
      <c r="E1620">
        <v>10101</v>
      </c>
      <c r="F1620">
        <v>15</v>
      </c>
      <c r="G1620">
        <v>50</v>
      </c>
      <c r="H1620" t="b">
        <v>0</v>
      </c>
      <c r="I1620">
        <f t="shared" si="50"/>
        <v>0</v>
      </c>
      <c r="J1620" t="str">
        <f t="shared" si="51"/>
        <v>451-600 (Fair)</v>
      </c>
      <c r="K1620" s="1"/>
    </row>
    <row r="1621" spans="1:11" x14ac:dyDescent="0.35">
      <c r="A1621" t="s">
        <v>2864</v>
      </c>
      <c r="B1621" t="s">
        <v>2865</v>
      </c>
      <c r="C1621">
        <v>74548</v>
      </c>
      <c r="D1621">
        <v>785</v>
      </c>
      <c r="E1621">
        <v>10077</v>
      </c>
      <c r="F1621">
        <v>21</v>
      </c>
      <c r="G1621">
        <v>80</v>
      </c>
      <c r="H1621" t="b">
        <v>1</v>
      </c>
      <c r="I1621">
        <f t="shared" si="50"/>
        <v>1</v>
      </c>
      <c r="J1621" t="str">
        <f t="shared" si="51"/>
        <v>751-850 (Excellent)</v>
      </c>
      <c r="K1621" s="1"/>
    </row>
    <row r="1622" spans="1:11" x14ac:dyDescent="0.35">
      <c r="A1622" t="s">
        <v>3710</v>
      </c>
      <c r="B1622" t="s">
        <v>1600</v>
      </c>
      <c r="C1622">
        <v>46614</v>
      </c>
      <c r="D1622">
        <v>546</v>
      </c>
      <c r="E1622">
        <v>10058</v>
      </c>
      <c r="F1622">
        <v>30</v>
      </c>
      <c r="G1622">
        <v>35</v>
      </c>
      <c r="H1622" t="b">
        <v>0</v>
      </c>
      <c r="I1622">
        <f t="shared" si="50"/>
        <v>0</v>
      </c>
      <c r="J1622" t="str">
        <f t="shared" si="51"/>
        <v>451-600 (Fair)</v>
      </c>
      <c r="K1622" s="1"/>
    </row>
    <row r="1623" spans="1:11" x14ac:dyDescent="0.35">
      <c r="A1623" t="s">
        <v>1143</v>
      </c>
      <c r="B1623" t="s">
        <v>1144</v>
      </c>
      <c r="C1623">
        <v>119399</v>
      </c>
      <c r="D1623">
        <v>507</v>
      </c>
      <c r="E1623">
        <v>10051</v>
      </c>
      <c r="F1623">
        <v>19</v>
      </c>
      <c r="G1623">
        <v>60</v>
      </c>
      <c r="H1623" t="b">
        <v>1</v>
      </c>
      <c r="I1623">
        <f t="shared" si="50"/>
        <v>1</v>
      </c>
      <c r="J1623" t="str">
        <f t="shared" si="51"/>
        <v>451-600 (Fair)</v>
      </c>
      <c r="K1623" s="1"/>
    </row>
    <row r="1624" spans="1:11" x14ac:dyDescent="0.35">
      <c r="A1624" t="s">
        <v>3880</v>
      </c>
      <c r="B1624" t="s">
        <v>1657</v>
      </c>
      <c r="C1624">
        <v>117177</v>
      </c>
      <c r="D1624">
        <v>712</v>
      </c>
      <c r="E1624">
        <v>10028</v>
      </c>
      <c r="F1624">
        <v>27</v>
      </c>
      <c r="G1624">
        <v>85</v>
      </c>
      <c r="H1624" t="b">
        <v>1</v>
      </c>
      <c r="I1624">
        <f t="shared" si="50"/>
        <v>1</v>
      </c>
      <c r="J1624" t="str">
        <f t="shared" si="51"/>
        <v>601-750 (Good)</v>
      </c>
      <c r="K1624" s="1"/>
    </row>
    <row r="1625" spans="1:11" x14ac:dyDescent="0.35">
      <c r="A1625" t="s">
        <v>3120</v>
      </c>
      <c r="B1625" t="s">
        <v>3121</v>
      </c>
      <c r="C1625">
        <v>104177</v>
      </c>
      <c r="D1625">
        <v>549</v>
      </c>
      <c r="E1625">
        <v>10012</v>
      </c>
      <c r="F1625">
        <v>7</v>
      </c>
      <c r="G1625">
        <v>55</v>
      </c>
      <c r="H1625" t="b">
        <v>0</v>
      </c>
      <c r="I1625">
        <f t="shared" si="50"/>
        <v>0</v>
      </c>
      <c r="J1625" t="str">
        <f t="shared" si="51"/>
        <v>451-600 (Fair)</v>
      </c>
      <c r="K1625" s="1"/>
    </row>
    <row r="1626" spans="1:11" x14ac:dyDescent="0.35">
      <c r="A1626" t="s">
        <v>1262</v>
      </c>
      <c r="B1626" t="s">
        <v>1263</v>
      </c>
      <c r="C1626">
        <v>39099</v>
      </c>
      <c r="D1626">
        <v>386</v>
      </c>
      <c r="E1626">
        <v>9992</v>
      </c>
      <c r="F1626">
        <v>26</v>
      </c>
      <c r="G1626">
        <v>30</v>
      </c>
      <c r="H1626" t="b">
        <v>0</v>
      </c>
      <c r="I1626">
        <f t="shared" si="50"/>
        <v>0</v>
      </c>
      <c r="J1626" t="str">
        <f t="shared" si="51"/>
        <v>300-450 (Poor)</v>
      </c>
      <c r="K1626" s="1"/>
    </row>
    <row r="1627" spans="1:11" x14ac:dyDescent="0.35">
      <c r="A1627" t="s">
        <v>592</v>
      </c>
      <c r="B1627" t="s">
        <v>593</v>
      </c>
      <c r="C1627">
        <v>107110</v>
      </c>
      <c r="D1627">
        <v>796</v>
      </c>
      <c r="E1627">
        <v>9947</v>
      </c>
      <c r="F1627">
        <v>12</v>
      </c>
      <c r="G1627">
        <v>95</v>
      </c>
      <c r="H1627" t="b">
        <v>1</v>
      </c>
      <c r="I1627">
        <f t="shared" si="50"/>
        <v>1</v>
      </c>
      <c r="J1627" t="str">
        <f t="shared" si="51"/>
        <v>751-850 (Excellent)</v>
      </c>
      <c r="K1627" s="1"/>
    </row>
    <row r="1628" spans="1:11" x14ac:dyDescent="0.35">
      <c r="A1628" t="s">
        <v>3334</v>
      </c>
      <c r="B1628" t="s">
        <v>3335</v>
      </c>
      <c r="C1628">
        <v>41813</v>
      </c>
      <c r="D1628">
        <v>652</v>
      </c>
      <c r="E1628">
        <v>9926</v>
      </c>
      <c r="F1628">
        <v>25</v>
      </c>
      <c r="G1628">
        <v>50</v>
      </c>
      <c r="H1628" t="b">
        <v>0</v>
      </c>
      <c r="I1628">
        <f t="shared" si="50"/>
        <v>0</v>
      </c>
      <c r="J1628" t="str">
        <f t="shared" si="51"/>
        <v>601-750 (Good)</v>
      </c>
      <c r="K1628" s="1"/>
    </row>
    <row r="1629" spans="1:11" x14ac:dyDescent="0.35">
      <c r="A1629" t="s">
        <v>3604</v>
      </c>
      <c r="B1629" t="s">
        <v>3605</v>
      </c>
      <c r="C1629">
        <v>116870</v>
      </c>
      <c r="D1629">
        <v>326</v>
      </c>
      <c r="E1629">
        <v>9921</v>
      </c>
      <c r="F1629">
        <v>0</v>
      </c>
      <c r="G1629">
        <v>45</v>
      </c>
      <c r="H1629" t="b">
        <v>0</v>
      </c>
      <c r="I1629">
        <f t="shared" si="50"/>
        <v>0</v>
      </c>
      <c r="J1629" t="str">
        <f t="shared" si="51"/>
        <v>300-450 (Poor)</v>
      </c>
      <c r="K1629" s="1"/>
    </row>
    <row r="1630" spans="1:11" x14ac:dyDescent="0.35">
      <c r="A1630" t="s">
        <v>3198</v>
      </c>
      <c r="B1630" t="s">
        <v>3199</v>
      </c>
      <c r="C1630">
        <v>120480</v>
      </c>
      <c r="D1630">
        <v>703</v>
      </c>
      <c r="E1630">
        <v>9844</v>
      </c>
      <c r="F1630">
        <v>10</v>
      </c>
      <c r="G1630">
        <v>85</v>
      </c>
      <c r="H1630" t="b">
        <v>1</v>
      </c>
      <c r="I1630">
        <f t="shared" si="50"/>
        <v>1</v>
      </c>
      <c r="J1630" t="str">
        <f t="shared" si="51"/>
        <v>601-750 (Good)</v>
      </c>
      <c r="K1630" s="1"/>
    </row>
    <row r="1631" spans="1:11" x14ac:dyDescent="0.35">
      <c r="A1631" t="s">
        <v>355</v>
      </c>
      <c r="B1631" t="s">
        <v>356</v>
      </c>
      <c r="C1631">
        <v>142866</v>
      </c>
      <c r="D1631">
        <v>486</v>
      </c>
      <c r="E1631">
        <v>9837</v>
      </c>
      <c r="F1631">
        <v>4</v>
      </c>
      <c r="G1631">
        <v>50</v>
      </c>
      <c r="H1631" t="b">
        <v>0</v>
      </c>
      <c r="I1631">
        <f t="shared" si="50"/>
        <v>0</v>
      </c>
      <c r="J1631" t="str">
        <f t="shared" si="51"/>
        <v>451-600 (Fair)</v>
      </c>
      <c r="K1631" s="1"/>
    </row>
    <row r="1632" spans="1:11" x14ac:dyDescent="0.35">
      <c r="A1632" t="s">
        <v>950</v>
      </c>
      <c r="B1632" t="s">
        <v>951</v>
      </c>
      <c r="C1632">
        <v>57938</v>
      </c>
      <c r="D1632">
        <v>464</v>
      </c>
      <c r="E1632">
        <v>9829</v>
      </c>
      <c r="F1632">
        <v>40</v>
      </c>
      <c r="G1632">
        <v>45</v>
      </c>
      <c r="H1632" t="b">
        <v>0</v>
      </c>
      <c r="I1632">
        <f t="shared" si="50"/>
        <v>0</v>
      </c>
      <c r="J1632" t="str">
        <f t="shared" si="51"/>
        <v>451-600 (Fair)</v>
      </c>
      <c r="K1632" s="1"/>
    </row>
    <row r="1633" spans="1:11" x14ac:dyDescent="0.35">
      <c r="A1633" t="s">
        <v>3647</v>
      </c>
      <c r="B1633" t="s">
        <v>3648</v>
      </c>
      <c r="C1633">
        <v>143992</v>
      </c>
      <c r="D1633">
        <v>400</v>
      </c>
      <c r="E1633">
        <v>9828</v>
      </c>
      <c r="F1633">
        <v>23</v>
      </c>
      <c r="G1633">
        <v>60</v>
      </c>
      <c r="H1633" t="b">
        <v>1</v>
      </c>
      <c r="I1633">
        <f t="shared" si="50"/>
        <v>1</v>
      </c>
      <c r="J1633" t="str">
        <f t="shared" si="51"/>
        <v>300-450 (Poor)</v>
      </c>
      <c r="K1633" s="1"/>
    </row>
    <row r="1634" spans="1:11" x14ac:dyDescent="0.35">
      <c r="A1634" t="s">
        <v>761</v>
      </c>
      <c r="B1634" t="s">
        <v>762</v>
      </c>
      <c r="C1634">
        <v>51798</v>
      </c>
      <c r="D1634">
        <v>533</v>
      </c>
      <c r="E1634">
        <v>9807</v>
      </c>
      <c r="F1634">
        <v>19</v>
      </c>
      <c r="G1634">
        <v>45</v>
      </c>
      <c r="H1634" t="b">
        <v>0</v>
      </c>
      <c r="I1634">
        <f t="shared" si="50"/>
        <v>0</v>
      </c>
      <c r="J1634" t="str">
        <f t="shared" si="51"/>
        <v>451-600 (Fair)</v>
      </c>
      <c r="K1634" s="1"/>
    </row>
    <row r="1635" spans="1:11" x14ac:dyDescent="0.35">
      <c r="A1635" t="s">
        <v>81</v>
      </c>
      <c r="B1635" t="s">
        <v>82</v>
      </c>
      <c r="C1635">
        <v>58893</v>
      </c>
      <c r="D1635">
        <v>406</v>
      </c>
      <c r="E1635">
        <v>9800</v>
      </c>
      <c r="F1635">
        <v>16</v>
      </c>
      <c r="G1635">
        <v>45</v>
      </c>
      <c r="H1635" t="b">
        <v>0</v>
      </c>
      <c r="I1635">
        <f t="shared" si="50"/>
        <v>0</v>
      </c>
      <c r="J1635" t="str">
        <f t="shared" si="51"/>
        <v>300-450 (Poor)</v>
      </c>
      <c r="K1635" s="1"/>
    </row>
    <row r="1636" spans="1:11" x14ac:dyDescent="0.35">
      <c r="A1636" t="s">
        <v>2716</v>
      </c>
      <c r="B1636" t="s">
        <v>2717</v>
      </c>
      <c r="C1636">
        <v>30150</v>
      </c>
      <c r="D1636">
        <v>783</v>
      </c>
      <c r="E1636">
        <v>9800</v>
      </c>
      <c r="F1636">
        <v>4</v>
      </c>
      <c r="G1636">
        <v>55</v>
      </c>
      <c r="H1636" t="b">
        <v>0</v>
      </c>
      <c r="I1636">
        <f t="shared" si="50"/>
        <v>0</v>
      </c>
      <c r="J1636" t="str">
        <f t="shared" si="51"/>
        <v>751-850 (Excellent)</v>
      </c>
      <c r="K1636" s="1"/>
    </row>
    <row r="1637" spans="1:11" x14ac:dyDescent="0.35">
      <c r="A1637" t="s">
        <v>1973</v>
      </c>
      <c r="B1637" t="s">
        <v>469</v>
      </c>
      <c r="C1637">
        <v>70888</v>
      </c>
      <c r="D1637">
        <v>520</v>
      </c>
      <c r="E1637">
        <v>9795</v>
      </c>
      <c r="F1637">
        <v>38</v>
      </c>
      <c r="G1637">
        <v>45</v>
      </c>
      <c r="H1637" t="b">
        <v>0</v>
      </c>
      <c r="I1637">
        <f t="shared" si="50"/>
        <v>0</v>
      </c>
      <c r="J1637" t="str">
        <f t="shared" si="51"/>
        <v>451-600 (Fair)</v>
      </c>
      <c r="K1637" s="1"/>
    </row>
    <row r="1638" spans="1:11" x14ac:dyDescent="0.35">
      <c r="A1638" t="s">
        <v>2017</v>
      </c>
      <c r="B1638" t="s">
        <v>2018</v>
      </c>
      <c r="C1638">
        <v>134363</v>
      </c>
      <c r="D1638">
        <v>341</v>
      </c>
      <c r="E1638">
        <v>9760</v>
      </c>
      <c r="F1638">
        <v>25</v>
      </c>
      <c r="G1638">
        <v>60</v>
      </c>
      <c r="H1638" t="b">
        <v>1</v>
      </c>
      <c r="I1638">
        <f t="shared" si="50"/>
        <v>1</v>
      </c>
      <c r="J1638" t="str">
        <f t="shared" si="51"/>
        <v>300-450 (Poor)</v>
      </c>
      <c r="K1638" s="1"/>
    </row>
    <row r="1639" spans="1:11" x14ac:dyDescent="0.35">
      <c r="A1639" t="s">
        <v>629</v>
      </c>
      <c r="B1639" t="s">
        <v>630</v>
      </c>
      <c r="C1639">
        <v>66500</v>
      </c>
      <c r="D1639">
        <v>691</v>
      </c>
      <c r="E1639">
        <v>9725</v>
      </c>
      <c r="F1639">
        <v>9</v>
      </c>
      <c r="G1639">
        <v>65</v>
      </c>
      <c r="H1639" t="b">
        <v>1</v>
      </c>
      <c r="I1639">
        <f t="shared" si="50"/>
        <v>1</v>
      </c>
      <c r="J1639" t="str">
        <f t="shared" si="51"/>
        <v>601-750 (Good)</v>
      </c>
      <c r="K1639" s="1"/>
    </row>
    <row r="1640" spans="1:11" x14ac:dyDescent="0.35">
      <c r="A1640" t="s">
        <v>3268</v>
      </c>
      <c r="B1640" t="s">
        <v>3269</v>
      </c>
      <c r="C1640">
        <v>67512</v>
      </c>
      <c r="D1640">
        <v>760</v>
      </c>
      <c r="E1640">
        <v>9709</v>
      </c>
      <c r="F1640">
        <v>20</v>
      </c>
      <c r="G1640">
        <v>80</v>
      </c>
      <c r="H1640" t="b">
        <v>1</v>
      </c>
      <c r="I1640">
        <f t="shared" si="50"/>
        <v>1</v>
      </c>
      <c r="J1640" t="str">
        <f t="shared" si="51"/>
        <v>751-850 (Excellent)</v>
      </c>
      <c r="K1640" s="1"/>
    </row>
    <row r="1641" spans="1:11" x14ac:dyDescent="0.35">
      <c r="A1641" t="s">
        <v>2647</v>
      </c>
      <c r="B1641" t="s">
        <v>2648</v>
      </c>
      <c r="C1641">
        <v>87132</v>
      </c>
      <c r="D1641">
        <v>630</v>
      </c>
      <c r="E1641">
        <v>9693</v>
      </c>
      <c r="F1641">
        <v>18</v>
      </c>
      <c r="G1641">
        <v>65</v>
      </c>
      <c r="H1641" t="b">
        <v>1</v>
      </c>
      <c r="I1641">
        <f t="shared" si="50"/>
        <v>1</v>
      </c>
      <c r="J1641" t="str">
        <f t="shared" si="51"/>
        <v>601-750 (Good)</v>
      </c>
      <c r="K1641" s="1"/>
    </row>
    <row r="1642" spans="1:11" x14ac:dyDescent="0.35">
      <c r="A1642" t="s">
        <v>2684</v>
      </c>
      <c r="B1642" t="s">
        <v>2685</v>
      </c>
      <c r="C1642">
        <v>116846</v>
      </c>
      <c r="D1642">
        <v>365</v>
      </c>
      <c r="E1642">
        <v>9686</v>
      </c>
      <c r="F1642">
        <v>33</v>
      </c>
      <c r="G1642">
        <v>60</v>
      </c>
      <c r="H1642" t="b">
        <v>1</v>
      </c>
      <c r="I1642">
        <f t="shared" si="50"/>
        <v>1</v>
      </c>
      <c r="J1642" t="str">
        <f t="shared" si="51"/>
        <v>300-450 (Poor)</v>
      </c>
      <c r="K1642" s="1"/>
    </row>
    <row r="1643" spans="1:11" x14ac:dyDescent="0.35">
      <c r="A1643" t="s">
        <v>3883</v>
      </c>
      <c r="B1643" t="s">
        <v>3884</v>
      </c>
      <c r="C1643">
        <v>79060</v>
      </c>
      <c r="D1643">
        <v>572</v>
      </c>
      <c r="E1643">
        <v>9643</v>
      </c>
      <c r="F1643">
        <v>6</v>
      </c>
      <c r="G1643">
        <v>45</v>
      </c>
      <c r="H1643" t="b">
        <v>0</v>
      </c>
      <c r="I1643">
        <f t="shared" si="50"/>
        <v>0</v>
      </c>
      <c r="J1643" t="str">
        <f t="shared" si="51"/>
        <v>451-600 (Fair)</v>
      </c>
      <c r="K1643" s="1"/>
    </row>
    <row r="1644" spans="1:11" x14ac:dyDescent="0.35">
      <c r="A1644" t="s">
        <v>2541</v>
      </c>
      <c r="B1644" t="s">
        <v>2542</v>
      </c>
      <c r="C1644">
        <v>37816</v>
      </c>
      <c r="D1644">
        <v>481</v>
      </c>
      <c r="E1644">
        <v>9627</v>
      </c>
      <c r="F1644">
        <v>5</v>
      </c>
      <c r="G1644">
        <v>25</v>
      </c>
      <c r="H1644" t="b">
        <v>0</v>
      </c>
      <c r="I1644">
        <f t="shared" si="50"/>
        <v>0</v>
      </c>
      <c r="J1644" t="str">
        <f t="shared" si="51"/>
        <v>451-600 (Fair)</v>
      </c>
      <c r="K1644" s="1"/>
    </row>
    <row r="1645" spans="1:11" x14ac:dyDescent="0.35">
      <c r="A1645" t="s">
        <v>1148</v>
      </c>
      <c r="B1645" t="s">
        <v>1149</v>
      </c>
      <c r="C1645">
        <v>43473</v>
      </c>
      <c r="D1645">
        <v>409</v>
      </c>
      <c r="E1645">
        <v>9620</v>
      </c>
      <c r="F1645">
        <v>11</v>
      </c>
      <c r="G1645">
        <v>35</v>
      </c>
      <c r="H1645" t="b">
        <v>0</v>
      </c>
      <c r="I1645">
        <f t="shared" si="50"/>
        <v>0</v>
      </c>
      <c r="J1645" t="str">
        <f t="shared" si="51"/>
        <v>300-450 (Poor)</v>
      </c>
      <c r="K1645" s="1"/>
    </row>
    <row r="1646" spans="1:11" x14ac:dyDescent="0.35">
      <c r="A1646" t="s">
        <v>1441</v>
      </c>
      <c r="B1646" t="s">
        <v>1442</v>
      </c>
      <c r="C1646">
        <v>106019</v>
      </c>
      <c r="D1646">
        <v>419</v>
      </c>
      <c r="E1646">
        <v>9600</v>
      </c>
      <c r="F1646">
        <v>1</v>
      </c>
      <c r="G1646">
        <v>45</v>
      </c>
      <c r="H1646" t="b">
        <v>0</v>
      </c>
      <c r="I1646">
        <f t="shared" si="50"/>
        <v>0</v>
      </c>
      <c r="J1646" t="str">
        <f t="shared" si="51"/>
        <v>300-450 (Poor)</v>
      </c>
      <c r="K1646" s="1"/>
    </row>
    <row r="1647" spans="1:11" x14ac:dyDescent="0.35">
      <c r="A1647" t="s">
        <v>3793</v>
      </c>
      <c r="B1647" t="s">
        <v>3794</v>
      </c>
      <c r="C1647">
        <v>49442</v>
      </c>
      <c r="D1647">
        <v>690</v>
      </c>
      <c r="E1647">
        <v>9572</v>
      </c>
      <c r="F1647">
        <v>40</v>
      </c>
      <c r="G1647">
        <v>60</v>
      </c>
      <c r="H1647" t="b">
        <v>1</v>
      </c>
      <c r="I1647">
        <f t="shared" si="50"/>
        <v>1</v>
      </c>
      <c r="J1647" t="str">
        <f t="shared" si="51"/>
        <v>601-750 (Good)</v>
      </c>
      <c r="K1647" s="1"/>
    </row>
    <row r="1648" spans="1:11" x14ac:dyDescent="0.35">
      <c r="A1648" t="s">
        <v>400</v>
      </c>
      <c r="B1648" t="s">
        <v>401</v>
      </c>
      <c r="C1648">
        <v>145970</v>
      </c>
      <c r="D1648">
        <v>708</v>
      </c>
      <c r="E1648">
        <v>9569</v>
      </c>
      <c r="F1648">
        <v>23</v>
      </c>
      <c r="G1648">
        <v>85</v>
      </c>
      <c r="H1648" t="b">
        <v>1</v>
      </c>
      <c r="I1648">
        <f t="shared" si="50"/>
        <v>1</v>
      </c>
      <c r="J1648" t="str">
        <f t="shared" si="51"/>
        <v>601-750 (Good)</v>
      </c>
      <c r="K1648" s="1"/>
    </row>
    <row r="1649" spans="1:11" x14ac:dyDescent="0.35">
      <c r="A1649" t="s">
        <v>2964</v>
      </c>
      <c r="B1649" t="s">
        <v>2965</v>
      </c>
      <c r="C1649">
        <v>34852</v>
      </c>
      <c r="D1649">
        <v>332</v>
      </c>
      <c r="E1649">
        <v>9562</v>
      </c>
      <c r="F1649">
        <v>39</v>
      </c>
      <c r="G1649">
        <v>30</v>
      </c>
      <c r="H1649" t="b">
        <v>0</v>
      </c>
      <c r="I1649">
        <f t="shared" si="50"/>
        <v>0</v>
      </c>
      <c r="J1649" t="str">
        <f t="shared" si="51"/>
        <v>300-450 (Poor)</v>
      </c>
      <c r="K1649" s="1"/>
    </row>
    <row r="1650" spans="1:11" x14ac:dyDescent="0.35">
      <c r="A1650" t="s">
        <v>1553</v>
      </c>
      <c r="B1650" t="s">
        <v>1554</v>
      </c>
      <c r="C1650">
        <v>30726</v>
      </c>
      <c r="D1650">
        <v>691</v>
      </c>
      <c r="E1650">
        <v>9532</v>
      </c>
      <c r="F1650">
        <v>27</v>
      </c>
      <c r="G1650">
        <v>55</v>
      </c>
      <c r="H1650" t="b">
        <v>0</v>
      </c>
      <c r="I1650">
        <f t="shared" si="50"/>
        <v>0</v>
      </c>
      <c r="J1650" t="str">
        <f t="shared" si="51"/>
        <v>601-750 (Good)</v>
      </c>
      <c r="K1650" s="1"/>
    </row>
    <row r="1651" spans="1:11" x14ac:dyDescent="0.35">
      <c r="A1651" t="s">
        <v>3614</v>
      </c>
      <c r="B1651" t="s">
        <v>3615</v>
      </c>
      <c r="C1651">
        <v>32799</v>
      </c>
      <c r="D1651">
        <v>306</v>
      </c>
      <c r="E1651">
        <v>9502</v>
      </c>
      <c r="F1651">
        <v>23</v>
      </c>
      <c r="G1651">
        <v>30</v>
      </c>
      <c r="H1651" t="b">
        <v>0</v>
      </c>
      <c r="I1651">
        <f t="shared" si="50"/>
        <v>0</v>
      </c>
      <c r="J1651" t="str">
        <f t="shared" si="51"/>
        <v>300-450 (Poor)</v>
      </c>
      <c r="K1651" s="1"/>
    </row>
    <row r="1652" spans="1:11" x14ac:dyDescent="0.35">
      <c r="A1652" t="s">
        <v>2369</v>
      </c>
      <c r="B1652" t="s">
        <v>2370</v>
      </c>
      <c r="C1652">
        <v>94454</v>
      </c>
      <c r="D1652">
        <v>599</v>
      </c>
      <c r="E1652">
        <v>9501</v>
      </c>
      <c r="F1652">
        <v>38</v>
      </c>
      <c r="G1652">
        <v>65</v>
      </c>
      <c r="H1652" t="b">
        <v>1</v>
      </c>
      <c r="I1652">
        <f t="shared" si="50"/>
        <v>1</v>
      </c>
      <c r="J1652" t="str">
        <f t="shared" si="51"/>
        <v>451-600 (Fair)</v>
      </c>
      <c r="K1652" s="1"/>
    </row>
    <row r="1653" spans="1:11" x14ac:dyDescent="0.35">
      <c r="A1653" t="s">
        <v>386</v>
      </c>
      <c r="B1653" t="s">
        <v>387</v>
      </c>
      <c r="C1653">
        <v>102512</v>
      </c>
      <c r="D1653">
        <v>486</v>
      </c>
      <c r="E1653">
        <v>9456</v>
      </c>
      <c r="F1653">
        <v>27</v>
      </c>
      <c r="G1653">
        <v>60</v>
      </c>
      <c r="H1653" t="b">
        <v>1</v>
      </c>
      <c r="I1653">
        <f t="shared" si="50"/>
        <v>1</v>
      </c>
      <c r="J1653" t="str">
        <f t="shared" si="51"/>
        <v>451-600 (Fair)</v>
      </c>
      <c r="K1653" s="1"/>
    </row>
    <row r="1654" spans="1:11" x14ac:dyDescent="0.35">
      <c r="A1654" t="s">
        <v>1965</v>
      </c>
      <c r="B1654" t="s">
        <v>1966</v>
      </c>
      <c r="C1654">
        <v>70768</v>
      </c>
      <c r="D1654">
        <v>340</v>
      </c>
      <c r="E1654">
        <v>9442</v>
      </c>
      <c r="F1654">
        <v>36</v>
      </c>
      <c r="G1654">
        <v>45</v>
      </c>
      <c r="H1654" t="b">
        <v>0</v>
      </c>
      <c r="I1654">
        <f t="shared" si="50"/>
        <v>0</v>
      </c>
      <c r="J1654" t="str">
        <f t="shared" si="51"/>
        <v>300-450 (Poor)</v>
      </c>
      <c r="K1654" s="1"/>
    </row>
    <row r="1655" spans="1:11" x14ac:dyDescent="0.35">
      <c r="A1655" t="s">
        <v>3677</v>
      </c>
      <c r="B1655" t="s">
        <v>3678</v>
      </c>
      <c r="C1655">
        <v>52871</v>
      </c>
      <c r="D1655">
        <v>653</v>
      </c>
      <c r="E1655">
        <v>9401</v>
      </c>
      <c r="F1655">
        <v>37</v>
      </c>
      <c r="G1655">
        <v>60</v>
      </c>
      <c r="H1655" t="b">
        <v>1</v>
      </c>
      <c r="I1655">
        <f t="shared" si="50"/>
        <v>1</v>
      </c>
      <c r="J1655" t="str">
        <f t="shared" si="51"/>
        <v>601-750 (Good)</v>
      </c>
      <c r="K1655" s="1"/>
    </row>
    <row r="1656" spans="1:11" x14ac:dyDescent="0.35">
      <c r="A1656" t="s">
        <v>1567</v>
      </c>
      <c r="B1656" t="s">
        <v>1568</v>
      </c>
      <c r="C1656">
        <v>132029</v>
      </c>
      <c r="D1656">
        <v>345</v>
      </c>
      <c r="E1656">
        <v>9380</v>
      </c>
      <c r="F1656">
        <v>31</v>
      </c>
      <c r="G1656">
        <v>60</v>
      </c>
      <c r="H1656" t="b">
        <v>1</v>
      </c>
      <c r="I1656">
        <f t="shared" si="50"/>
        <v>1</v>
      </c>
      <c r="J1656" t="str">
        <f t="shared" si="51"/>
        <v>300-450 (Poor)</v>
      </c>
      <c r="K1656" s="1"/>
    </row>
    <row r="1657" spans="1:11" x14ac:dyDescent="0.35">
      <c r="A1657" t="s">
        <v>1725</v>
      </c>
      <c r="B1657" t="s">
        <v>1726</v>
      </c>
      <c r="C1657">
        <v>139168</v>
      </c>
      <c r="D1657">
        <v>366</v>
      </c>
      <c r="E1657">
        <v>9351</v>
      </c>
      <c r="F1657">
        <v>16</v>
      </c>
      <c r="G1657">
        <v>60</v>
      </c>
      <c r="H1657" t="b">
        <v>1</v>
      </c>
      <c r="I1657">
        <f t="shared" si="50"/>
        <v>1</v>
      </c>
      <c r="J1657" t="str">
        <f t="shared" si="51"/>
        <v>300-450 (Poor)</v>
      </c>
      <c r="K1657" s="1"/>
    </row>
    <row r="1658" spans="1:11" x14ac:dyDescent="0.35">
      <c r="A1658" t="s">
        <v>3768</v>
      </c>
      <c r="B1658" t="s">
        <v>3769</v>
      </c>
      <c r="C1658">
        <v>82640</v>
      </c>
      <c r="D1658">
        <v>828</v>
      </c>
      <c r="E1658">
        <v>9308</v>
      </c>
      <c r="F1658">
        <v>16</v>
      </c>
      <c r="G1658">
        <v>90</v>
      </c>
      <c r="H1658" t="b">
        <v>1</v>
      </c>
      <c r="I1658">
        <f t="shared" si="50"/>
        <v>1</v>
      </c>
      <c r="J1658" t="str">
        <f t="shared" si="51"/>
        <v>751-850 (Excellent)</v>
      </c>
      <c r="K1658" s="1"/>
    </row>
    <row r="1659" spans="1:11" x14ac:dyDescent="0.35">
      <c r="A1659" t="s">
        <v>1776</v>
      </c>
      <c r="B1659" t="s">
        <v>1777</v>
      </c>
      <c r="C1659">
        <v>101582</v>
      </c>
      <c r="D1659">
        <v>586</v>
      </c>
      <c r="E1659">
        <v>9287</v>
      </c>
      <c r="F1659">
        <v>32</v>
      </c>
      <c r="G1659">
        <v>75</v>
      </c>
      <c r="H1659" t="b">
        <v>1</v>
      </c>
      <c r="I1659">
        <f t="shared" si="50"/>
        <v>1</v>
      </c>
      <c r="J1659" t="str">
        <f t="shared" si="51"/>
        <v>451-600 (Fair)</v>
      </c>
      <c r="K1659" s="1"/>
    </row>
    <row r="1660" spans="1:11" x14ac:dyDescent="0.35">
      <c r="A1660" t="s">
        <v>2237</v>
      </c>
      <c r="B1660" t="s">
        <v>2238</v>
      </c>
      <c r="C1660">
        <v>76112</v>
      </c>
      <c r="D1660">
        <v>422</v>
      </c>
      <c r="E1660">
        <v>9276</v>
      </c>
      <c r="F1660">
        <v>20</v>
      </c>
      <c r="G1660">
        <v>50</v>
      </c>
      <c r="H1660" t="b">
        <v>0</v>
      </c>
      <c r="I1660">
        <f t="shared" si="50"/>
        <v>0</v>
      </c>
      <c r="J1660" t="str">
        <f t="shared" si="51"/>
        <v>300-450 (Poor)</v>
      </c>
      <c r="K1660" s="1"/>
    </row>
    <row r="1661" spans="1:11" x14ac:dyDescent="0.35">
      <c r="A1661" t="s">
        <v>2768</v>
      </c>
      <c r="B1661" t="s">
        <v>2769</v>
      </c>
      <c r="C1661">
        <v>33783</v>
      </c>
      <c r="D1661">
        <v>500</v>
      </c>
      <c r="E1661">
        <v>9246</v>
      </c>
      <c r="F1661">
        <v>14</v>
      </c>
      <c r="G1661">
        <v>30</v>
      </c>
      <c r="H1661" t="b">
        <v>0</v>
      </c>
      <c r="I1661">
        <f t="shared" si="50"/>
        <v>0</v>
      </c>
      <c r="J1661" t="str">
        <f t="shared" si="51"/>
        <v>451-600 (Fair)</v>
      </c>
      <c r="K1661" s="1"/>
    </row>
    <row r="1662" spans="1:11" x14ac:dyDescent="0.35">
      <c r="A1662" t="s">
        <v>384</v>
      </c>
      <c r="B1662" t="s">
        <v>385</v>
      </c>
      <c r="C1662">
        <v>62953</v>
      </c>
      <c r="D1662">
        <v>375</v>
      </c>
      <c r="E1662">
        <v>9213</v>
      </c>
      <c r="F1662">
        <v>20</v>
      </c>
      <c r="G1662">
        <v>45</v>
      </c>
      <c r="H1662" t="b">
        <v>0</v>
      </c>
      <c r="I1662">
        <f t="shared" si="50"/>
        <v>0</v>
      </c>
      <c r="J1662" t="str">
        <f t="shared" si="51"/>
        <v>300-450 (Poor)</v>
      </c>
      <c r="K1662" s="1"/>
    </row>
    <row r="1663" spans="1:11" x14ac:dyDescent="0.35">
      <c r="A1663" t="s">
        <v>390</v>
      </c>
      <c r="B1663" t="s">
        <v>391</v>
      </c>
      <c r="C1663">
        <v>31504</v>
      </c>
      <c r="D1663">
        <v>581</v>
      </c>
      <c r="E1663">
        <v>9203</v>
      </c>
      <c r="F1663">
        <v>40</v>
      </c>
      <c r="G1663">
        <v>45</v>
      </c>
      <c r="H1663" t="b">
        <v>0</v>
      </c>
      <c r="I1663">
        <f t="shared" si="50"/>
        <v>0</v>
      </c>
      <c r="J1663" t="str">
        <f t="shared" si="51"/>
        <v>451-600 (Fair)</v>
      </c>
      <c r="K1663" s="1"/>
    </row>
    <row r="1664" spans="1:11" x14ac:dyDescent="0.35">
      <c r="A1664" t="s">
        <v>2802</v>
      </c>
      <c r="B1664" t="s">
        <v>2803</v>
      </c>
      <c r="C1664">
        <v>45396</v>
      </c>
      <c r="D1664">
        <v>605</v>
      </c>
      <c r="E1664">
        <v>9183</v>
      </c>
      <c r="F1664">
        <v>34</v>
      </c>
      <c r="G1664">
        <v>50</v>
      </c>
      <c r="H1664" t="b">
        <v>0</v>
      </c>
      <c r="I1664">
        <f t="shared" si="50"/>
        <v>0</v>
      </c>
      <c r="J1664" t="str">
        <f t="shared" si="51"/>
        <v>601-750 (Good)</v>
      </c>
      <c r="K1664" s="1"/>
    </row>
    <row r="1665" spans="1:11" x14ac:dyDescent="0.35">
      <c r="A1665" t="s">
        <v>2134</v>
      </c>
      <c r="B1665" t="s">
        <v>2135</v>
      </c>
      <c r="C1665">
        <v>141536</v>
      </c>
      <c r="D1665">
        <v>443</v>
      </c>
      <c r="E1665">
        <v>9124</v>
      </c>
      <c r="F1665">
        <v>36</v>
      </c>
      <c r="G1665">
        <v>60</v>
      </c>
      <c r="H1665" t="b">
        <v>1</v>
      </c>
      <c r="I1665">
        <f t="shared" si="50"/>
        <v>1</v>
      </c>
      <c r="J1665" t="str">
        <f t="shared" si="51"/>
        <v>300-450 (Poor)</v>
      </c>
      <c r="K1665" s="1"/>
    </row>
    <row r="1666" spans="1:11" x14ac:dyDescent="0.35">
      <c r="A1666" t="s">
        <v>912</v>
      </c>
      <c r="B1666" t="s">
        <v>913</v>
      </c>
      <c r="C1666">
        <v>71180</v>
      </c>
      <c r="D1666">
        <v>444</v>
      </c>
      <c r="E1666">
        <v>9076</v>
      </c>
      <c r="F1666">
        <v>2</v>
      </c>
      <c r="G1666">
        <v>35</v>
      </c>
      <c r="H1666" t="b">
        <v>0</v>
      </c>
      <c r="I1666">
        <f t="shared" si="50"/>
        <v>0</v>
      </c>
      <c r="J1666" t="str">
        <f t="shared" si="51"/>
        <v>300-450 (Poor)</v>
      </c>
      <c r="K1666" s="1"/>
    </row>
    <row r="1667" spans="1:11" x14ac:dyDescent="0.35">
      <c r="A1667" t="s">
        <v>633</v>
      </c>
      <c r="B1667" t="s">
        <v>634</v>
      </c>
      <c r="C1667">
        <v>93624</v>
      </c>
      <c r="D1667">
        <v>443</v>
      </c>
      <c r="E1667">
        <v>9071</v>
      </c>
      <c r="F1667">
        <v>37</v>
      </c>
      <c r="G1667">
        <v>55</v>
      </c>
      <c r="H1667" t="b">
        <v>0</v>
      </c>
      <c r="I1667">
        <f t="shared" si="50"/>
        <v>0</v>
      </c>
      <c r="J1667" t="str">
        <f t="shared" si="51"/>
        <v>300-450 (Poor)</v>
      </c>
      <c r="K1667" s="1"/>
    </row>
    <row r="1668" spans="1:11" x14ac:dyDescent="0.35">
      <c r="A1668" t="s">
        <v>2377</v>
      </c>
      <c r="B1668" t="s">
        <v>2378</v>
      </c>
      <c r="C1668">
        <v>119974</v>
      </c>
      <c r="D1668">
        <v>515</v>
      </c>
      <c r="E1668">
        <v>9044</v>
      </c>
      <c r="F1668">
        <v>23</v>
      </c>
      <c r="G1668">
        <v>60</v>
      </c>
      <c r="H1668" t="b">
        <v>1</v>
      </c>
      <c r="I1668">
        <f t="shared" ref="I1668:I1731" si="52">--H1668</f>
        <v>1</v>
      </c>
      <c r="J1668" t="str">
        <f t="shared" ref="J1668:J1731" si="53">IF(D1668&gt;750, "751-850 (Excellent)", IF(D1668&gt;600, "601-750 (Good)", IF(D1668&gt;450, "451-600 (Fair)", "300-450 (Poor)")))</f>
        <v>451-600 (Fair)</v>
      </c>
      <c r="K1668" s="1"/>
    </row>
    <row r="1669" spans="1:11" x14ac:dyDescent="0.35">
      <c r="A1669" t="s">
        <v>1677</v>
      </c>
      <c r="B1669" t="s">
        <v>1678</v>
      </c>
      <c r="C1669">
        <v>67450</v>
      </c>
      <c r="D1669">
        <v>302</v>
      </c>
      <c r="E1669">
        <v>9016</v>
      </c>
      <c r="F1669">
        <v>35</v>
      </c>
      <c r="G1669">
        <v>45</v>
      </c>
      <c r="H1669" t="b">
        <v>0</v>
      </c>
      <c r="I1669">
        <f t="shared" si="52"/>
        <v>0</v>
      </c>
      <c r="J1669" t="str">
        <f t="shared" si="53"/>
        <v>300-450 (Poor)</v>
      </c>
      <c r="K1669" s="1"/>
    </row>
    <row r="1670" spans="1:11" x14ac:dyDescent="0.35">
      <c r="A1670" t="s">
        <v>2744</v>
      </c>
      <c r="B1670" t="s">
        <v>2745</v>
      </c>
      <c r="C1670">
        <v>129613</v>
      </c>
      <c r="D1670">
        <v>828</v>
      </c>
      <c r="E1670">
        <v>8975</v>
      </c>
      <c r="F1670">
        <v>10</v>
      </c>
      <c r="G1670">
        <v>100</v>
      </c>
      <c r="H1670" t="b">
        <v>1</v>
      </c>
      <c r="I1670">
        <f t="shared" si="52"/>
        <v>1</v>
      </c>
      <c r="J1670" t="str">
        <f t="shared" si="53"/>
        <v>751-850 (Excellent)</v>
      </c>
      <c r="K1670" s="1"/>
    </row>
    <row r="1671" spans="1:11" x14ac:dyDescent="0.35">
      <c r="A1671" t="s">
        <v>3093</v>
      </c>
      <c r="B1671" t="s">
        <v>3094</v>
      </c>
      <c r="C1671">
        <v>148413</v>
      </c>
      <c r="D1671">
        <v>602</v>
      </c>
      <c r="E1671">
        <v>8934</v>
      </c>
      <c r="F1671">
        <v>13</v>
      </c>
      <c r="G1671">
        <v>75</v>
      </c>
      <c r="H1671" t="b">
        <v>1</v>
      </c>
      <c r="I1671">
        <f t="shared" si="52"/>
        <v>1</v>
      </c>
      <c r="J1671" t="str">
        <f t="shared" si="53"/>
        <v>601-750 (Good)</v>
      </c>
      <c r="K1671" s="1"/>
    </row>
    <row r="1672" spans="1:11" x14ac:dyDescent="0.35">
      <c r="A1672" t="s">
        <v>1521</v>
      </c>
      <c r="B1672" t="s">
        <v>1522</v>
      </c>
      <c r="C1672">
        <v>130727</v>
      </c>
      <c r="D1672">
        <v>812</v>
      </c>
      <c r="E1672">
        <v>8906</v>
      </c>
      <c r="F1672">
        <v>33</v>
      </c>
      <c r="G1672">
        <v>100</v>
      </c>
      <c r="H1672" t="b">
        <v>1</v>
      </c>
      <c r="I1672">
        <f t="shared" si="52"/>
        <v>1</v>
      </c>
      <c r="J1672" t="str">
        <f t="shared" si="53"/>
        <v>751-850 (Excellent)</v>
      </c>
      <c r="K1672" s="1"/>
    </row>
    <row r="1673" spans="1:11" x14ac:dyDescent="0.35">
      <c r="A1673" t="s">
        <v>1687</v>
      </c>
      <c r="B1673" t="s">
        <v>1688</v>
      </c>
      <c r="C1673">
        <v>147050</v>
      </c>
      <c r="D1673">
        <v>319</v>
      </c>
      <c r="E1673">
        <v>8882</v>
      </c>
      <c r="F1673">
        <v>34</v>
      </c>
      <c r="G1673">
        <v>60</v>
      </c>
      <c r="H1673" t="b">
        <v>1</v>
      </c>
      <c r="I1673">
        <f t="shared" si="52"/>
        <v>1</v>
      </c>
      <c r="J1673" t="str">
        <f t="shared" si="53"/>
        <v>300-450 (Poor)</v>
      </c>
      <c r="K1673" s="1"/>
    </row>
    <row r="1674" spans="1:11" x14ac:dyDescent="0.35">
      <c r="A1674" t="s">
        <v>2724</v>
      </c>
      <c r="B1674" t="s">
        <v>2725</v>
      </c>
      <c r="C1674">
        <v>90552</v>
      </c>
      <c r="D1674">
        <v>443</v>
      </c>
      <c r="E1674">
        <v>8811</v>
      </c>
      <c r="F1674">
        <v>26</v>
      </c>
      <c r="G1674">
        <v>55</v>
      </c>
      <c r="H1674" t="b">
        <v>0</v>
      </c>
      <c r="I1674">
        <f t="shared" si="52"/>
        <v>0</v>
      </c>
      <c r="J1674" t="str">
        <f t="shared" si="53"/>
        <v>300-450 (Poor)</v>
      </c>
      <c r="K1674" s="1"/>
    </row>
    <row r="1675" spans="1:11" x14ac:dyDescent="0.35">
      <c r="A1675" t="s">
        <v>3050</v>
      </c>
      <c r="B1675" t="s">
        <v>3051</v>
      </c>
      <c r="C1675">
        <v>100912</v>
      </c>
      <c r="D1675">
        <v>702</v>
      </c>
      <c r="E1675">
        <v>8809</v>
      </c>
      <c r="F1675">
        <v>18</v>
      </c>
      <c r="G1675">
        <v>85</v>
      </c>
      <c r="H1675" t="b">
        <v>1</v>
      </c>
      <c r="I1675">
        <f t="shared" si="52"/>
        <v>1</v>
      </c>
      <c r="J1675" t="str">
        <f t="shared" si="53"/>
        <v>601-750 (Good)</v>
      </c>
      <c r="K1675" s="1"/>
    </row>
    <row r="1676" spans="1:11" x14ac:dyDescent="0.35">
      <c r="A1676" t="s">
        <v>2019</v>
      </c>
      <c r="B1676" t="s">
        <v>2020</v>
      </c>
      <c r="C1676">
        <v>104177</v>
      </c>
      <c r="D1676">
        <v>572</v>
      </c>
      <c r="E1676">
        <v>8785</v>
      </c>
      <c r="F1676">
        <v>26</v>
      </c>
      <c r="G1676">
        <v>60</v>
      </c>
      <c r="H1676" t="b">
        <v>1</v>
      </c>
      <c r="I1676">
        <f t="shared" si="52"/>
        <v>1</v>
      </c>
      <c r="J1676" t="str">
        <f t="shared" si="53"/>
        <v>451-600 (Fair)</v>
      </c>
      <c r="K1676" s="1"/>
    </row>
    <row r="1677" spans="1:11" x14ac:dyDescent="0.35">
      <c r="A1677" t="s">
        <v>1791</v>
      </c>
      <c r="B1677" t="s">
        <v>1792</v>
      </c>
      <c r="C1677">
        <v>87125</v>
      </c>
      <c r="D1677">
        <v>400</v>
      </c>
      <c r="E1677">
        <v>8771</v>
      </c>
      <c r="F1677">
        <v>4</v>
      </c>
      <c r="G1677">
        <v>40</v>
      </c>
      <c r="H1677" t="b">
        <v>0</v>
      </c>
      <c r="I1677">
        <f t="shared" si="52"/>
        <v>0</v>
      </c>
      <c r="J1677" t="str">
        <f t="shared" si="53"/>
        <v>300-450 (Poor)</v>
      </c>
      <c r="K1677" s="1"/>
    </row>
    <row r="1678" spans="1:11" x14ac:dyDescent="0.35">
      <c r="A1678" t="s">
        <v>2441</v>
      </c>
      <c r="B1678" t="s">
        <v>2442</v>
      </c>
      <c r="C1678">
        <v>127004</v>
      </c>
      <c r="D1678">
        <v>469</v>
      </c>
      <c r="E1678">
        <v>8769</v>
      </c>
      <c r="F1678">
        <v>18</v>
      </c>
      <c r="G1678">
        <v>60</v>
      </c>
      <c r="H1678" t="b">
        <v>1</v>
      </c>
      <c r="I1678">
        <f t="shared" si="52"/>
        <v>1</v>
      </c>
      <c r="J1678" t="str">
        <f t="shared" si="53"/>
        <v>451-600 (Fair)</v>
      </c>
      <c r="K1678" s="1"/>
    </row>
    <row r="1679" spans="1:11" x14ac:dyDescent="0.35">
      <c r="A1679" t="s">
        <v>1551</v>
      </c>
      <c r="B1679" t="s">
        <v>1552</v>
      </c>
      <c r="C1679">
        <v>120128</v>
      </c>
      <c r="D1679">
        <v>806</v>
      </c>
      <c r="E1679">
        <v>8766</v>
      </c>
      <c r="F1679">
        <v>14</v>
      </c>
      <c r="G1679">
        <v>100</v>
      </c>
      <c r="H1679" t="b">
        <v>1</v>
      </c>
      <c r="I1679">
        <f t="shared" si="52"/>
        <v>1</v>
      </c>
      <c r="J1679" t="str">
        <f t="shared" si="53"/>
        <v>751-850 (Excellent)</v>
      </c>
      <c r="K1679" s="1"/>
    </row>
    <row r="1680" spans="1:11" x14ac:dyDescent="0.35">
      <c r="A1680" t="s">
        <v>2364</v>
      </c>
      <c r="B1680" t="s">
        <v>599</v>
      </c>
      <c r="C1680">
        <v>137756</v>
      </c>
      <c r="D1680">
        <v>748</v>
      </c>
      <c r="E1680">
        <v>8732</v>
      </c>
      <c r="F1680">
        <v>39</v>
      </c>
      <c r="G1680">
        <v>95</v>
      </c>
      <c r="H1680" t="b">
        <v>1</v>
      </c>
      <c r="I1680">
        <f t="shared" si="52"/>
        <v>1</v>
      </c>
      <c r="J1680" t="str">
        <f t="shared" si="53"/>
        <v>601-750 (Good)</v>
      </c>
      <c r="K1680" s="1"/>
    </row>
    <row r="1681" spans="1:11" x14ac:dyDescent="0.35">
      <c r="A1681" t="s">
        <v>968</v>
      </c>
      <c r="B1681" t="s">
        <v>969</v>
      </c>
      <c r="C1681">
        <v>78434</v>
      </c>
      <c r="D1681">
        <v>835</v>
      </c>
      <c r="E1681">
        <v>8722</v>
      </c>
      <c r="F1681">
        <v>33</v>
      </c>
      <c r="G1681">
        <v>90</v>
      </c>
      <c r="H1681" t="b">
        <v>1</v>
      </c>
      <c r="I1681">
        <f t="shared" si="52"/>
        <v>1</v>
      </c>
      <c r="J1681" t="str">
        <f t="shared" si="53"/>
        <v>751-850 (Excellent)</v>
      </c>
      <c r="K1681" s="1"/>
    </row>
    <row r="1682" spans="1:11" x14ac:dyDescent="0.35">
      <c r="A1682" t="s">
        <v>602</v>
      </c>
      <c r="B1682" t="s">
        <v>603</v>
      </c>
      <c r="C1682">
        <v>30942</v>
      </c>
      <c r="D1682">
        <v>749</v>
      </c>
      <c r="E1682">
        <v>8693</v>
      </c>
      <c r="F1682">
        <v>15</v>
      </c>
      <c r="G1682">
        <v>65</v>
      </c>
      <c r="H1682" t="b">
        <v>1</v>
      </c>
      <c r="I1682">
        <f t="shared" si="52"/>
        <v>1</v>
      </c>
      <c r="J1682" t="str">
        <f t="shared" si="53"/>
        <v>601-750 (Good)</v>
      </c>
      <c r="K1682" s="1"/>
    </row>
    <row r="1683" spans="1:11" x14ac:dyDescent="0.35">
      <c r="A1683" t="s">
        <v>1605</v>
      </c>
      <c r="B1683" t="s">
        <v>1606</v>
      </c>
      <c r="C1683">
        <v>108047</v>
      </c>
      <c r="D1683">
        <v>704</v>
      </c>
      <c r="E1683">
        <v>8646</v>
      </c>
      <c r="F1683">
        <v>0</v>
      </c>
      <c r="G1683">
        <v>70</v>
      </c>
      <c r="H1683" t="b">
        <v>1</v>
      </c>
      <c r="I1683">
        <f t="shared" si="52"/>
        <v>1</v>
      </c>
      <c r="J1683" t="str">
        <f t="shared" si="53"/>
        <v>601-750 (Good)</v>
      </c>
      <c r="K1683" s="1"/>
    </row>
    <row r="1684" spans="1:11" x14ac:dyDescent="0.35">
      <c r="A1684" t="s">
        <v>2613</v>
      </c>
      <c r="B1684" t="s">
        <v>2614</v>
      </c>
      <c r="C1684">
        <v>32719</v>
      </c>
      <c r="D1684">
        <v>743</v>
      </c>
      <c r="E1684">
        <v>8630</v>
      </c>
      <c r="F1684">
        <v>12</v>
      </c>
      <c r="G1684">
        <v>65</v>
      </c>
      <c r="H1684" t="b">
        <v>1</v>
      </c>
      <c r="I1684">
        <f t="shared" si="52"/>
        <v>1</v>
      </c>
      <c r="J1684" t="str">
        <f t="shared" si="53"/>
        <v>601-750 (Good)</v>
      </c>
      <c r="K1684" s="1"/>
    </row>
    <row r="1685" spans="1:11" x14ac:dyDescent="0.35">
      <c r="A1685" t="s">
        <v>468</v>
      </c>
      <c r="B1685" t="s">
        <v>469</v>
      </c>
      <c r="C1685">
        <v>51174</v>
      </c>
      <c r="D1685">
        <v>752</v>
      </c>
      <c r="E1685">
        <v>8617</v>
      </c>
      <c r="F1685">
        <v>13</v>
      </c>
      <c r="G1685">
        <v>80</v>
      </c>
      <c r="H1685" t="b">
        <v>1</v>
      </c>
      <c r="I1685">
        <f t="shared" si="52"/>
        <v>1</v>
      </c>
      <c r="J1685" t="str">
        <f t="shared" si="53"/>
        <v>751-850 (Excellent)</v>
      </c>
      <c r="K1685" s="1"/>
    </row>
    <row r="1686" spans="1:11" x14ac:dyDescent="0.35">
      <c r="A1686" t="s">
        <v>572</v>
      </c>
      <c r="B1686" t="s">
        <v>573</v>
      </c>
      <c r="C1686">
        <v>87422</v>
      </c>
      <c r="D1686">
        <v>387</v>
      </c>
      <c r="E1686">
        <v>8606</v>
      </c>
      <c r="F1686">
        <v>9</v>
      </c>
      <c r="G1686">
        <v>50</v>
      </c>
      <c r="H1686" t="b">
        <v>0</v>
      </c>
      <c r="I1686">
        <f t="shared" si="52"/>
        <v>0</v>
      </c>
      <c r="J1686" t="str">
        <f t="shared" si="53"/>
        <v>300-450 (Poor)</v>
      </c>
      <c r="K1686" s="1"/>
    </row>
    <row r="1687" spans="1:11" x14ac:dyDescent="0.35">
      <c r="A1687" t="s">
        <v>3661</v>
      </c>
      <c r="B1687" t="s">
        <v>3662</v>
      </c>
      <c r="C1687">
        <v>30371</v>
      </c>
      <c r="D1687">
        <v>455</v>
      </c>
      <c r="E1687">
        <v>8573</v>
      </c>
      <c r="F1687">
        <v>13</v>
      </c>
      <c r="G1687">
        <v>30</v>
      </c>
      <c r="H1687" t="b">
        <v>0</v>
      </c>
      <c r="I1687">
        <f t="shared" si="52"/>
        <v>0</v>
      </c>
      <c r="J1687" t="str">
        <f t="shared" si="53"/>
        <v>451-600 (Fair)</v>
      </c>
      <c r="K1687" s="1"/>
    </row>
    <row r="1688" spans="1:11" x14ac:dyDescent="0.35">
      <c r="A1688" t="s">
        <v>295</v>
      </c>
      <c r="B1688" t="s">
        <v>296</v>
      </c>
      <c r="C1688">
        <v>57869</v>
      </c>
      <c r="D1688">
        <v>596</v>
      </c>
      <c r="E1688">
        <v>8548</v>
      </c>
      <c r="F1688">
        <v>25</v>
      </c>
      <c r="G1688">
        <v>60</v>
      </c>
      <c r="H1688" t="b">
        <v>1</v>
      </c>
      <c r="I1688">
        <f t="shared" si="52"/>
        <v>1</v>
      </c>
      <c r="J1688" t="str">
        <f t="shared" si="53"/>
        <v>451-600 (Fair)</v>
      </c>
      <c r="K1688" s="1"/>
    </row>
    <row r="1689" spans="1:11" x14ac:dyDescent="0.35">
      <c r="A1689" t="s">
        <v>3663</v>
      </c>
      <c r="B1689" t="s">
        <v>3664</v>
      </c>
      <c r="C1689">
        <v>66342</v>
      </c>
      <c r="D1689">
        <v>354</v>
      </c>
      <c r="E1689">
        <v>8547</v>
      </c>
      <c r="F1689">
        <v>38</v>
      </c>
      <c r="G1689">
        <v>45</v>
      </c>
      <c r="H1689" t="b">
        <v>0</v>
      </c>
      <c r="I1689">
        <f t="shared" si="52"/>
        <v>0</v>
      </c>
      <c r="J1689" t="str">
        <f t="shared" si="53"/>
        <v>300-450 (Poor)</v>
      </c>
      <c r="K1689" s="1"/>
    </row>
    <row r="1690" spans="1:11" x14ac:dyDescent="0.35">
      <c r="A1690" t="s">
        <v>3540</v>
      </c>
      <c r="B1690" t="s">
        <v>3541</v>
      </c>
      <c r="C1690">
        <v>84379</v>
      </c>
      <c r="D1690">
        <v>548</v>
      </c>
      <c r="E1690">
        <v>8535</v>
      </c>
      <c r="F1690">
        <v>32</v>
      </c>
      <c r="G1690">
        <v>50</v>
      </c>
      <c r="H1690" t="b">
        <v>0</v>
      </c>
      <c r="I1690">
        <f t="shared" si="52"/>
        <v>0</v>
      </c>
      <c r="J1690" t="str">
        <f t="shared" si="53"/>
        <v>451-600 (Fair)</v>
      </c>
      <c r="K1690" s="1"/>
    </row>
    <row r="1691" spans="1:11" x14ac:dyDescent="0.35">
      <c r="A1691" t="s">
        <v>2379</v>
      </c>
      <c r="B1691" t="s">
        <v>2380</v>
      </c>
      <c r="C1691">
        <v>37026</v>
      </c>
      <c r="D1691">
        <v>764</v>
      </c>
      <c r="E1691">
        <v>8486</v>
      </c>
      <c r="F1691">
        <v>1</v>
      </c>
      <c r="G1691">
        <v>55</v>
      </c>
      <c r="H1691" t="b">
        <v>0</v>
      </c>
      <c r="I1691">
        <f t="shared" si="52"/>
        <v>0</v>
      </c>
      <c r="J1691" t="str">
        <f t="shared" si="53"/>
        <v>751-850 (Excellent)</v>
      </c>
      <c r="K1691" s="1"/>
    </row>
    <row r="1692" spans="1:11" x14ac:dyDescent="0.35">
      <c r="A1692" t="s">
        <v>171</v>
      </c>
      <c r="B1692" t="s">
        <v>172</v>
      </c>
      <c r="C1692">
        <v>122349</v>
      </c>
      <c r="D1692">
        <v>789</v>
      </c>
      <c r="E1692">
        <v>8476</v>
      </c>
      <c r="F1692">
        <v>4</v>
      </c>
      <c r="G1692">
        <v>85</v>
      </c>
      <c r="H1692" t="b">
        <v>1</v>
      </c>
      <c r="I1692">
        <f t="shared" si="52"/>
        <v>1</v>
      </c>
      <c r="J1692" t="str">
        <f t="shared" si="53"/>
        <v>751-850 (Excellent)</v>
      </c>
      <c r="K1692" s="1"/>
    </row>
    <row r="1693" spans="1:11" x14ac:dyDescent="0.35">
      <c r="A1693" t="s">
        <v>853</v>
      </c>
      <c r="B1693" t="s">
        <v>854</v>
      </c>
      <c r="C1693">
        <v>96562</v>
      </c>
      <c r="D1693">
        <v>763</v>
      </c>
      <c r="E1693">
        <v>8472</v>
      </c>
      <c r="F1693">
        <v>6</v>
      </c>
      <c r="G1693">
        <v>85</v>
      </c>
      <c r="H1693" t="b">
        <v>1</v>
      </c>
      <c r="I1693">
        <f t="shared" si="52"/>
        <v>1</v>
      </c>
      <c r="J1693" t="str">
        <f t="shared" si="53"/>
        <v>751-850 (Excellent)</v>
      </c>
      <c r="K1693" s="1"/>
    </row>
    <row r="1694" spans="1:11" x14ac:dyDescent="0.35">
      <c r="A1694" t="s">
        <v>1599</v>
      </c>
      <c r="B1694" t="s">
        <v>1600</v>
      </c>
      <c r="C1694">
        <v>117500</v>
      </c>
      <c r="D1694">
        <v>316</v>
      </c>
      <c r="E1694">
        <v>8466</v>
      </c>
      <c r="F1694">
        <v>29</v>
      </c>
      <c r="G1694">
        <v>60</v>
      </c>
      <c r="H1694" t="b">
        <v>1</v>
      </c>
      <c r="I1694">
        <f t="shared" si="52"/>
        <v>1</v>
      </c>
      <c r="J1694" t="str">
        <f t="shared" si="53"/>
        <v>300-450 (Poor)</v>
      </c>
      <c r="K1694" s="1"/>
    </row>
    <row r="1695" spans="1:11" x14ac:dyDescent="0.35">
      <c r="A1695" t="s">
        <v>2003</v>
      </c>
      <c r="B1695" t="s">
        <v>2004</v>
      </c>
      <c r="C1695">
        <v>131250</v>
      </c>
      <c r="D1695">
        <v>682</v>
      </c>
      <c r="E1695">
        <v>8420</v>
      </c>
      <c r="F1695">
        <v>21</v>
      </c>
      <c r="G1695">
        <v>85</v>
      </c>
      <c r="H1695" t="b">
        <v>1</v>
      </c>
      <c r="I1695">
        <f t="shared" si="52"/>
        <v>1</v>
      </c>
      <c r="J1695" t="str">
        <f t="shared" si="53"/>
        <v>601-750 (Good)</v>
      </c>
      <c r="K1695" s="1"/>
    </row>
    <row r="1696" spans="1:11" x14ac:dyDescent="0.35">
      <c r="A1696" t="s">
        <v>3587</v>
      </c>
      <c r="B1696" t="s">
        <v>3588</v>
      </c>
      <c r="C1696">
        <v>37936</v>
      </c>
      <c r="D1696">
        <v>376</v>
      </c>
      <c r="E1696">
        <v>8418</v>
      </c>
      <c r="F1696">
        <v>30</v>
      </c>
      <c r="G1696">
        <v>35</v>
      </c>
      <c r="H1696" t="b">
        <v>0</v>
      </c>
      <c r="I1696">
        <f t="shared" si="52"/>
        <v>0</v>
      </c>
      <c r="J1696" t="str">
        <f t="shared" si="53"/>
        <v>300-450 (Poor)</v>
      </c>
      <c r="K1696" s="1"/>
    </row>
    <row r="1697" spans="1:11" x14ac:dyDescent="0.35">
      <c r="A1697" t="s">
        <v>2275</v>
      </c>
      <c r="B1697" t="s">
        <v>2276</v>
      </c>
      <c r="C1697">
        <v>93464</v>
      </c>
      <c r="D1697">
        <v>795</v>
      </c>
      <c r="E1697">
        <v>8389</v>
      </c>
      <c r="F1697">
        <v>17</v>
      </c>
      <c r="G1697">
        <v>90</v>
      </c>
      <c r="H1697" t="b">
        <v>1</v>
      </c>
      <c r="I1697">
        <f t="shared" si="52"/>
        <v>1</v>
      </c>
      <c r="J1697" t="str">
        <f t="shared" si="53"/>
        <v>751-850 (Excellent)</v>
      </c>
      <c r="K1697" s="1"/>
    </row>
    <row r="1698" spans="1:11" x14ac:dyDescent="0.35">
      <c r="A1698" t="s">
        <v>3526</v>
      </c>
      <c r="B1698" t="s">
        <v>3527</v>
      </c>
      <c r="C1698">
        <v>100804</v>
      </c>
      <c r="D1698">
        <v>688</v>
      </c>
      <c r="E1698">
        <v>8380</v>
      </c>
      <c r="F1698">
        <v>14</v>
      </c>
      <c r="G1698">
        <v>85</v>
      </c>
      <c r="H1698" t="b">
        <v>1</v>
      </c>
      <c r="I1698">
        <f t="shared" si="52"/>
        <v>1</v>
      </c>
      <c r="J1698" t="str">
        <f t="shared" si="53"/>
        <v>601-750 (Good)</v>
      </c>
      <c r="K1698" s="1"/>
    </row>
    <row r="1699" spans="1:11" x14ac:dyDescent="0.35">
      <c r="A1699" t="s">
        <v>3746</v>
      </c>
      <c r="B1699" t="s">
        <v>3747</v>
      </c>
      <c r="C1699">
        <v>125321</v>
      </c>
      <c r="D1699">
        <v>733</v>
      </c>
      <c r="E1699">
        <v>8372</v>
      </c>
      <c r="F1699">
        <v>22</v>
      </c>
      <c r="G1699">
        <v>85</v>
      </c>
      <c r="H1699" t="b">
        <v>1</v>
      </c>
      <c r="I1699">
        <f t="shared" si="52"/>
        <v>1</v>
      </c>
      <c r="J1699" t="str">
        <f t="shared" si="53"/>
        <v>601-750 (Good)</v>
      </c>
      <c r="K1699" s="1"/>
    </row>
    <row r="1700" spans="1:11" x14ac:dyDescent="0.35">
      <c r="A1700" t="s">
        <v>1212</v>
      </c>
      <c r="B1700" t="s">
        <v>1213</v>
      </c>
      <c r="C1700">
        <v>121917</v>
      </c>
      <c r="D1700">
        <v>479</v>
      </c>
      <c r="E1700">
        <v>8355</v>
      </c>
      <c r="F1700">
        <v>23</v>
      </c>
      <c r="G1700">
        <v>60</v>
      </c>
      <c r="H1700" t="b">
        <v>1</v>
      </c>
      <c r="I1700">
        <f t="shared" si="52"/>
        <v>1</v>
      </c>
      <c r="J1700" t="str">
        <f t="shared" si="53"/>
        <v>451-600 (Fair)</v>
      </c>
      <c r="K1700" s="1"/>
    </row>
    <row r="1701" spans="1:11" x14ac:dyDescent="0.35">
      <c r="A1701" t="s">
        <v>87</v>
      </c>
      <c r="B1701" t="s">
        <v>88</v>
      </c>
      <c r="C1701">
        <v>66463</v>
      </c>
      <c r="D1701">
        <v>309</v>
      </c>
      <c r="E1701">
        <v>8331</v>
      </c>
      <c r="F1701">
        <v>4</v>
      </c>
      <c r="G1701">
        <v>35</v>
      </c>
      <c r="H1701" t="b">
        <v>0</v>
      </c>
      <c r="I1701">
        <f t="shared" si="52"/>
        <v>0</v>
      </c>
      <c r="J1701" t="str">
        <f t="shared" si="53"/>
        <v>300-450 (Poor)</v>
      </c>
      <c r="K1701" s="1"/>
    </row>
    <row r="1702" spans="1:11" x14ac:dyDescent="0.35">
      <c r="A1702" t="s">
        <v>1723</v>
      </c>
      <c r="B1702" t="s">
        <v>1724</v>
      </c>
      <c r="C1702">
        <v>57110</v>
      </c>
      <c r="D1702">
        <v>705</v>
      </c>
      <c r="E1702">
        <v>8270</v>
      </c>
      <c r="F1702">
        <v>17</v>
      </c>
      <c r="G1702">
        <v>70</v>
      </c>
      <c r="H1702" t="b">
        <v>1</v>
      </c>
      <c r="I1702">
        <f t="shared" si="52"/>
        <v>1</v>
      </c>
      <c r="J1702" t="str">
        <f t="shared" si="53"/>
        <v>601-750 (Good)</v>
      </c>
      <c r="K1702" s="1"/>
    </row>
    <row r="1703" spans="1:11" x14ac:dyDescent="0.35">
      <c r="A1703" t="s">
        <v>2021</v>
      </c>
      <c r="B1703" t="s">
        <v>2022</v>
      </c>
      <c r="C1703">
        <v>132581</v>
      </c>
      <c r="D1703">
        <v>434</v>
      </c>
      <c r="E1703">
        <v>8191</v>
      </c>
      <c r="F1703">
        <v>6</v>
      </c>
      <c r="G1703">
        <v>55</v>
      </c>
      <c r="H1703" t="b">
        <v>0</v>
      </c>
      <c r="I1703">
        <f t="shared" si="52"/>
        <v>0</v>
      </c>
      <c r="J1703" t="str">
        <f t="shared" si="53"/>
        <v>300-450 (Poor)</v>
      </c>
      <c r="K1703" s="1"/>
    </row>
    <row r="1704" spans="1:11" x14ac:dyDescent="0.35">
      <c r="A1704" t="s">
        <v>3655</v>
      </c>
      <c r="B1704" t="s">
        <v>3656</v>
      </c>
      <c r="C1704">
        <v>49340</v>
      </c>
      <c r="D1704">
        <v>628</v>
      </c>
      <c r="E1704">
        <v>8174</v>
      </c>
      <c r="F1704">
        <v>29</v>
      </c>
      <c r="G1704">
        <v>50</v>
      </c>
      <c r="H1704" t="b">
        <v>0</v>
      </c>
      <c r="I1704">
        <f t="shared" si="52"/>
        <v>0</v>
      </c>
      <c r="J1704" t="str">
        <f t="shared" si="53"/>
        <v>601-750 (Good)</v>
      </c>
      <c r="K1704" s="1"/>
    </row>
    <row r="1705" spans="1:11" x14ac:dyDescent="0.35">
      <c r="A1705" t="s">
        <v>1189</v>
      </c>
      <c r="B1705" t="s">
        <v>1190</v>
      </c>
      <c r="C1705">
        <v>73540</v>
      </c>
      <c r="D1705">
        <v>359</v>
      </c>
      <c r="E1705">
        <v>8163</v>
      </c>
      <c r="F1705">
        <v>36</v>
      </c>
      <c r="G1705">
        <v>45</v>
      </c>
      <c r="H1705" t="b">
        <v>0</v>
      </c>
      <c r="I1705">
        <f t="shared" si="52"/>
        <v>0</v>
      </c>
      <c r="J1705" t="str">
        <f t="shared" si="53"/>
        <v>300-450 (Poor)</v>
      </c>
      <c r="K1705" s="1"/>
    </row>
    <row r="1706" spans="1:11" x14ac:dyDescent="0.35">
      <c r="A1706" t="s">
        <v>438</v>
      </c>
      <c r="B1706" t="s">
        <v>439</v>
      </c>
      <c r="C1706">
        <v>53416</v>
      </c>
      <c r="D1706">
        <v>440</v>
      </c>
      <c r="E1706">
        <v>8158</v>
      </c>
      <c r="F1706">
        <v>39</v>
      </c>
      <c r="G1706">
        <v>45</v>
      </c>
      <c r="H1706" t="b">
        <v>0</v>
      </c>
      <c r="I1706">
        <f t="shared" si="52"/>
        <v>0</v>
      </c>
      <c r="J1706" t="str">
        <f t="shared" si="53"/>
        <v>300-450 (Poor)</v>
      </c>
      <c r="K1706" s="1"/>
    </row>
    <row r="1707" spans="1:11" x14ac:dyDescent="0.35">
      <c r="A1707" t="s">
        <v>3027</v>
      </c>
      <c r="B1707" t="s">
        <v>3028</v>
      </c>
      <c r="C1707">
        <v>141718</v>
      </c>
      <c r="D1707">
        <v>621</v>
      </c>
      <c r="E1707">
        <v>8061</v>
      </c>
      <c r="F1707">
        <v>17</v>
      </c>
      <c r="G1707">
        <v>75</v>
      </c>
      <c r="H1707" t="b">
        <v>1</v>
      </c>
      <c r="I1707">
        <f t="shared" si="52"/>
        <v>1</v>
      </c>
      <c r="J1707" t="str">
        <f t="shared" si="53"/>
        <v>601-750 (Good)</v>
      </c>
      <c r="K1707" s="1"/>
    </row>
    <row r="1708" spans="1:11" x14ac:dyDescent="0.35">
      <c r="A1708" t="s">
        <v>1068</v>
      </c>
      <c r="B1708" t="s">
        <v>1069</v>
      </c>
      <c r="C1708">
        <v>30464</v>
      </c>
      <c r="D1708">
        <v>849</v>
      </c>
      <c r="E1708">
        <v>8038</v>
      </c>
      <c r="F1708">
        <v>8</v>
      </c>
      <c r="G1708">
        <v>65</v>
      </c>
      <c r="H1708" t="b">
        <v>1</v>
      </c>
      <c r="I1708">
        <f t="shared" si="52"/>
        <v>1</v>
      </c>
      <c r="J1708" t="str">
        <f t="shared" si="53"/>
        <v>751-850 (Excellent)</v>
      </c>
      <c r="K1708" s="1"/>
    </row>
    <row r="1709" spans="1:11" x14ac:dyDescent="0.35">
      <c r="A1709" t="s">
        <v>520</v>
      </c>
      <c r="B1709" t="s">
        <v>521</v>
      </c>
      <c r="C1709">
        <v>129693</v>
      </c>
      <c r="D1709">
        <v>483</v>
      </c>
      <c r="E1709">
        <v>8013</v>
      </c>
      <c r="F1709">
        <v>6</v>
      </c>
      <c r="G1709">
        <v>55</v>
      </c>
      <c r="H1709" t="b">
        <v>0</v>
      </c>
      <c r="I1709">
        <f t="shared" si="52"/>
        <v>0</v>
      </c>
      <c r="J1709" t="str">
        <f t="shared" si="53"/>
        <v>451-600 (Fair)</v>
      </c>
      <c r="K1709" s="1"/>
    </row>
    <row r="1710" spans="1:11" x14ac:dyDescent="0.35">
      <c r="A1710" t="s">
        <v>552</v>
      </c>
      <c r="B1710" t="s">
        <v>553</v>
      </c>
      <c r="C1710">
        <v>128994</v>
      </c>
      <c r="D1710">
        <v>768</v>
      </c>
      <c r="E1710">
        <v>8010</v>
      </c>
      <c r="F1710">
        <v>8</v>
      </c>
      <c r="G1710">
        <v>90</v>
      </c>
      <c r="H1710" t="b">
        <v>1</v>
      </c>
      <c r="I1710">
        <f t="shared" si="52"/>
        <v>1</v>
      </c>
      <c r="J1710" t="str">
        <f t="shared" si="53"/>
        <v>751-850 (Excellent)</v>
      </c>
      <c r="K1710" s="1"/>
    </row>
    <row r="1711" spans="1:11" x14ac:dyDescent="0.35">
      <c r="A1711" t="s">
        <v>1935</v>
      </c>
      <c r="B1711" t="s">
        <v>1936</v>
      </c>
      <c r="C1711">
        <v>103920</v>
      </c>
      <c r="D1711">
        <v>527</v>
      </c>
      <c r="E1711">
        <v>7985</v>
      </c>
      <c r="F1711">
        <v>25</v>
      </c>
      <c r="G1711">
        <v>60</v>
      </c>
      <c r="H1711" t="b">
        <v>1</v>
      </c>
      <c r="I1711">
        <f t="shared" si="52"/>
        <v>1</v>
      </c>
      <c r="J1711" t="str">
        <f t="shared" si="53"/>
        <v>451-600 (Fair)</v>
      </c>
      <c r="K1711" s="1"/>
    </row>
    <row r="1712" spans="1:11" x14ac:dyDescent="0.35">
      <c r="A1712" t="s">
        <v>2592</v>
      </c>
      <c r="B1712" t="s">
        <v>2593</v>
      </c>
      <c r="C1712">
        <v>72247</v>
      </c>
      <c r="D1712">
        <v>829</v>
      </c>
      <c r="E1712">
        <v>7975</v>
      </c>
      <c r="F1712">
        <v>29</v>
      </c>
      <c r="G1712">
        <v>85</v>
      </c>
      <c r="H1712" t="b">
        <v>1</v>
      </c>
      <c r="I1712">
        <f t="shared" si="52"/>
        <v>1</v>
      </c>
      <c r="J1712" t="str">
        <f t="shared" si="53"/>
        <v>751-850 (Excellent)</v>
      </c>
      <c r="K1712" s="1"/>
    </row>
    <row r="1713" spans="1:11" x14ac:dyDescent="0.35">
      <c r="A1713" t="s">
        <v>43</v>
      </c>
      <c r="B1713" t="s">
        <v>44</v>
      </c>
      <c r="C1713">
        <v>101482</v>
      </c>
      <c r="D1713">
        <v>819</v>
      </c>
      <c r="E1713">
        <v>7973</v>
      </c>
      <c r="F1713">
        <v>40</v>
      </c>
      <c r="G1713">
        <v>100</v>
      </c>
      <c r="H1713" t="b">
        <v>1</v>
      </c>
      <c r="I1713">
        <f t="shared" si="52"/>
        <v>1</v>
      </c>
      <c r="J1713" t="str">
        <f t="shared" si="53"/>
        <v>751-850 (Excellent)</v>
      </c>
      <c r="K1713" s="1"/>
    </row>
    <row r="1714" spans="1:11" x14ac:dyDescent="0.35">
      <c r="A1714" t="s">
        <v>1984</v>
      </c>
      <c r="B1714" t="s">
        <v>866</v>
      </c>
      <c r="C1714">
        <v>123718</v>
      </c>
      <c r="D1714">
        <v>687</v>
      </c>
      <c r="E1714">
        <v>7881</v>
      </c>
      <c r="F1714">
        <v>7</v>
      </c>
      <c r="G1714">
        <v>80</v>
      </c>
      <c r="H1714" t="b">
        <v>1</v>
      </c>
      <c r="I1714">
        <f t="shared" si="52"/>
        <v>1</v>
      </c>
      <c r="J1714" t="str">
        <f t="shared" si="53"/>
        <v>601-750 (Good)</v>
      </c>
      <c r="K1714" s="1"/>
    </row>
    <row r="1715" spans="1:11" x14ac:dyDescent="0.35">
      <c r="A1715" t="s">
        <v>2806</v>
      </c>
      <c r="B1715" t="s">
        <v>2807</v>
      </c>
      <c r="C1715">
        <v>139070</v>
      </c>
      <c r="D1715">
        <v>835</v>
      </c>
      <c r="E1715">
        <v>7753</v>
      </c>
      <c r="F1715">
        <v>5</v>
      </c>
      <c r="G1715">
        <v>95</v>
      </c>
      <c r="H1715" t="b">
        <v>1</v>
      </c>
      <c r="I1715">
        <f t="shared" si="52"/>
        <v>1</v>
      </c>
      <c r="J1715" t="str">
        <f t="shared" si="53"/>
        <v>751-850 (Excellent)</v>
      </c>
      <c r="K1715" s="1"/>
    </row>
    <row r="1716" spans="1:11" x14ac:dyDescent="0.35">
      <c r="A1716" t="s">
        <v>2208</v>
      </c>
      <c r="B1716" t="s">
        <v>2209</v>
      </c>
      <c r="C1716">
        <v>83005</v>
      </c>
      <c r="D1716">
        <v>702</v>
      </c>
      <c r="E1716">
        <v>7743</v>
      </c>
      <c r="F1716">
        <v>37</v>
      </c>
      <c r="G1716">
        <v>80</v>
      </c>
      <c r="H1716" t="b">
        <v>1</v>
      </c>
      <c r="I1716">
        <f t="shared" si="52"/>
        <v>1</v>
      </c>
      <c r="J1716" t="str">
        <f t="shared" si="53"/>
        <v>601-750 (Good)</v>
      </c>
      <c r="K1716" s="1"/>
    </row>
    <row r="1717" spans="1:11" x14ac:dyDescent="0.35">
      <c r="A1717" t="s">
        <v>169</v>
      </c>
      <c r="B1717" t="s">
        <v>170</v>
      </c>
      <c r="C1717">
        <v>55203</v>
      </c>
      <c r="D1717">
        <v>802</v>
      </c>
      <c r="E1717">
        <v>7723</v>
      </c>
      <c r="F1717">
        <v>0</v>
      </c>
      <c r="G1717">
        <v>70</v>
      </c>
      <c r="H1717" t="b">
        <v>1</v>
      </c>
      <c r="I1717">
        <f t="shared" si="52"/>
        <v>1</v>
      </c>
      <c r="J1717" t="str">
        <f t="shared" si="53"/>
        <v>751-850 (Excellent)</v>
      </c>
      <c r="K1717" s="1"/>
    </row>
    <row r="1718" spans="1:11" x14ac:dyDescent="0.35">
      <c r="A1718" t="s">
        <v>2077</v>
      </c>
      <c r="B1718" t="s">
        <v>2078</v>
      </c>
      <c r="C1718">
        <v>65400</v>
      </c>
      <c r="D1718">
        <v>603</v>
      </c>
      <c r="E1718">
        <v>7721</v>
      </c>
      <c r="F1718">
        <v>32</v>
      </c>
      <c r="G1718">
        <v>60</v>
      </c>
      <c r="H1718" t="b">
        <v>1</v>
      </c>
      <c r="I1718">
        <f t="shared" si="52"/>
        <v>1</v>
      </c>
      <c r="J1718" t="str">
        <f t="shared" si="53"/>
        <v>601-750 (Good)</v>
      </c>
      <c r="K1718" s="1"/>
    </row>
    <row r="1719" spans="1:11" x14ac:dyDescent="0.35">
      <c r="A1719" t="s">
        <v>3721</v>
      </c>
      <c r="B1719" t="s">
        <v>3722</v>
      </c>
      <c r="C1719">
        <v>38330</v>
      </c>
      <c r="D1719">
        <v>599</v>
      </c>
      <c r="E1719">
        <v>7688</v>
      </c>
      <c r="F1719">
        <v>26</v>
      </c>
      <c r="G1719">
        <v>50</v>
      </c>
      <c r="H1719" t="b">
        <v>0</v>
      </c>
      <c r="I1719">
        <f t="shared" si="52"/>
        <v>0</v>
      </c>
      <c r="J1719" t="str">
        <f t="shared" si="53"/>
        <v>451-600 (Fair)</v>
      </c>
      <c r="K1719" s="1"/>
    </row>
    <row r="1720" spans="1:11" x14ac:dyDescent="0.35">
      <c r="A1720" t="s">
        <v>147</v>
      </c>
      <c r="B1720" t="s">
        <v>148</v>
      </c>
      <c r="C1720">
        <v>79615</v>
      </c>
      <c r="D1720">
        <v>548</v>
      </c>
      <c r="E1720">
        <v>7678</v>
      </c>
      <c r="F1720">
        <v>19</v>
      </c>
      <c r="G1720">
        <v>55</v>
      </c>
      <c r="H1720" t="b">
        <v>0</v>
      </c>
      <c r="I1720">
        <f t="shared" si="52"/>
        <v>0</v>
      </c>
      <c r="J1720" t="str">
        <f t="shared" si="53"/>
        <v>451-600 (Fair)</v>
      </c>
      <c r="K1720" s="1"/>
    </row>
    <row r="1721" spans="1:11" x14ac:dyDescent="0.35">
      <c r="A1721" t="s">
        <v>1743</v>
      </c>
      <c r="B1721" t="s">
        <v>1744</v>
      </c>
      <c r="C1721">
        <v>145429</v>
      </c>
      <c r="D1721">
        <v>367</v>
      </c>
      <c r="E1721">
        <v>7673</v>
      </c>
      <c r="F1721">
        <v>3</v>
      </c>
      <c r="G1721">
        <v>50</v>
      </c>
      <c r="H1721" t="b">
        <v>0</v>
      </c>
      <c r="I1721">
        <f t="shared" si="52"/>
        <v>0</v>
      </c>
      <c r="J1721" t="str">
        <f t="shared" si="53"/>
        <v>300-450 (Poor)</v>
      </c>
      <c r="K1721" s="1"/>
    </row>
    <row r="1722" spans="1:11" x14ac:dyDescent="0.35">
      <c r="A1722" t="s">
        <v>3194</v>
      </c>
      <c r="B1722" t="s">
        <v>3195</v>
      </c>
      <c r="C1722">
        <v>113746</v>
      </c>
      <c r="D1722">
        <v>368</v>
      </c>
      <c r="E1722">
        <v>7652</v>
      </c>
      <c r="F1722">
        <v>17</v>
      </c>
      <c r="G1722">
        <v>60</v>
      </c>
      <c r="H1722" t="b">
        <v>1</v>
      </c>
      <c r="I1722">
        <f t="shared" si="52"/>
        <v>1</v>
      </c>
      <c r="J1722" t="str">
        <f t="shared" si="53"/>
        <v>300-450 (Poor)</v>
      </c>
      <c r="K1722" s="1"/>
    </row>
    <row r="1723" spans="1:11" x14ac:dyDescent="0.35">
      <c r="A1723" t="s">
        <v>1768</v>
      </c>
      <c r="B1723" t="s">
        <v>1769</v>
      </c>
      <c r="C1723">
        <v>84921</v>
      </c>
      <c r="D1723">
        <v>568</v>
      </c>
      <c r="E1723">
        <v>7631</v>
      </c>
      <c r="F1723">
        <v>1</v>
      </c>
      <c r="G1723">
        <v>40</v>
      </c>
      <c r="H1723" t="b">
        <v>0</v>
      </c>
      <c r="I1723">
        <f t="shared" si="52"/>
        <v>0</v>
      </c>
      <c r="J1723" t="str">
        <f t="shared" si="53"/>
        <v>451-600 (Fair)</v>
      </c>
      <c r="K1723" s="1"/>
    </row>
    <row r="1724" spans="1:11" x14ac:dyDescent="0.35">
      <c r="A1724" t="s">
        <v>2259</v>
      </c>
      <c r="B1724" t="s">
        <v>2260</v>
      </c>
      <c r="C1724">
        <v>127370</v>
      </c>
      <c r="D1724">
        <v>844</v>
      </c>
      <c r="E1724">
        <v>7621</v>
      </c>
      <c r="F1724">
        <v>17</v>
      </c>
      <c r="G1724">
        <v>100</v>
      </c>
      <c r="H1724" t="b">
        <v>1</v>
      </c>
      <c r="I1724">
        <f t="shared" si="52"/>
        <v>1</v>
      </c>
      <c r="J1724" t="str">
        <f t="shared" si="53"/>
        <v>751-850 (Excellent)</v>
      </c>
      <c r="K1724" s="1"/>
    </row>
    <row r="1725" spans="1:11" x14ac:dyDescent="0.35">
      <c r="A1725" t="s">
        <v>3633</v>
      </c>
      <c r="B1725" t="s">
        <v>3634</v>
      </c>
      <c r="C1725">
        <v>138765</v>
      </c>
      <c r="D1725">
        <v>475</v>
      </c>
      <c r="E1725">
        <v>7606</v>
      </c>
      <c r="F1725">
        <v>27</v>
      </c>
      <c r="G1725">
        <v>60</v>
      </c>
      <c r="H1725" t="b">
        <v>1</v>
      </c>
      <c r="I1725">
        <f t="shared" si="52"/>
        <v>1</v>
      </c>
      <c r="J1725" t="str">
        <f t="shared" si="53"/>
        <v>451-600 (Fair)</v>
      </c>
      <c r="K1725" s="1"/>
    </row>
    <row r="1726" spans="1:11" x14ac:dyDescent="0.35">
      <c r="A1726" t="s">
        <v>2196</v>
      </c>
      <c r="B1726" t="s">
        <v>2197</v>
      </c>
      <c r="C1726">
        <v>88743</v>
      </c>
      <c r="D1726">
        <v>700</v>
      </c>
      <c r="E1726">
        <v>7597</v>
      </c>
      <c r="F1726">
        <v>31</v>
      </c>
      <c r="G1726">
        <v>80</v>
      </c>
      <c r="H1726" t="b">
        <v>1</v>
      </c>
      <c r="I1726">
        <f t="shared" si="52"/>
        <v>1</v>
      </c>
      <c r="J1726" t="str">
        <f t="shared" si="53"/>
        <v>601-750 (Good)</v>
      </c>
      <c r="K1726" s="1"/>
    </row>
    <row r="1727" spans="1:11" x14ac:dyDescent="0.35">
      <c r="A1727" t="s">
        <v>2453</v>
      </c>
      <c r="B1727" t="s">
        <v>2454</v>
      </c>
      <c r="C1727">
        <v>64687</v>
      </c>
      <c r="D1727">
        <v>743</v>
      </c>
      <c r="E1727">
        <v>7582</v>
      </c>
      <c r="F1727">
        <v>33</v>
      </c>
      <c r="G1727">
        <v>80</v>
      </c>
      <c r="H1727" t="b">
        <v>1</v>
      </c>
      <c r="I1727">
        <f t="shared" si="52"/>
        <v>1</v>
      </c>
      <c r="J1727" t="str">
        <f t="shared" si="53"/>
        <v>601-750 (Good)</v>
      </c>
      <c r="K1727" s="1"/>
    </row>
    <row r="1728" spans="1:11" x14ac:dyDescent="0.35">
      <c r="A1728" t="s">
        <v>3695</v>
      </c>
      <c r="B1728" t="s">
        <v>3696</v>
      </c>
      <c r="C1728">
        <v>133341</v>
      </c>
      <c r="D1728">
        <v>535</v>
      </c>
      <c r="E1728">
        <v>7578</v>
      </c>
      <c r="F1728">
        <v>28</v>
      </c>
      <c r="G1728">
        <v>60</v>
      </c>
      <c r="H1728" t="b">
        <v>1</v>
      </c>
      <c r="I1728">
        <f t="shared" si="52"/>
        <v>1</v>
      </c>
      <c r="J1728" t="str">
        <f t="shared" si="53"/>
        <v>451-600 (Fair)</v>
      </c>
      <c r="K1728" s="1"/>
    </row>
    <row r="1729" spans="1:11" x14ac:dyDescent="0.35">
      <c r="A1729" t="s">
        <v>976</v>
      </c>
      <c r="B1729" t="s">
        <v>977</v>
      </c>
      <c r="C1729">
        <v>139280</v>
      </c>
      <c r="D1729">
        <v>465</v>
      </c>
      <c r="E1729">
        <v>7571</v>
      </c>
      <c r="F1729">
        <v>13</v>
      </c>
      <c r="G1729">
        <v>60</v>
      </c>
      <c r="H1729" t="b">
        <v>1</v>
      </c>
      <c r="I1729">
        <f t="shared" si="52"/>
        <v>1</v>
      </c>
      <c r="J1729" t="str">
        <f t="shared" si="53"/>
        <v>451-600 (Fair)</v>
      </c>
      <c r="K1729" s="1"/>
    </row>
    <row r="1730" spans="1:11" x14ac:dyDescent="0.35">
      <c r="A1730" t="s">
        <v>2581</v>
      </c>
      <c r="B1730" t="s">
        <v>2582</v>
      </c>
      <c r="C1730">
        <v>40543</v>
      </c>
      <c r="D1730">
        <v>652</v>
      </c>
      <c r="E1730">
        <v>7547</v>
      </c>
      <c r="F1730">
        <v>30</v>
      </c>
      <c r="G1730">
        <v>50</v>
      </c>
      <c r="H1730" t="b">
        <v>0</v>
      </c>
      <c r="I1730">
        <f t="shared" si="52"/>
        <v>0</v>
      </c>
      <c r="J1730" t="str">
        <f t="shared" si="53"/>
        <v>601-750 (Good)</v>
      </c>
      <c r="K1730" s="1"/>
    </row>
    <row r="1731" spans="1:11" x14ac:dyDescent="0.35">
      <c r="A1731" t="s">
        <v>1473</v>
      </c>
      <c r="B1731" t="s">
        <v>1474</v>
      </c>
      <c r="C1731">
        <v>116356</v>
      </c>
      <c r="D1731">
        <v>330</v>
      </c>
      <c r="E1731">
        <v>7527</v>
      </c>
      <c r="F1731">
        <v>3</v>
      </c>
      <c r="G1731">
        <v>50</v>
      </c>
      <c r="H1731" t="b">
        <v>0</v>
      </c>
      <c r="I1731">
        <f t="shared" si="52"/>
        <v>0</v>
      </c>
      <c r="J1731" t="str">
        <f t="shared" si="53"/>
        <v>300-450 (Poor)</v>
      </c>
      <c r="K1731" s="1"/>
    </row>
    <row r="1732" spans="1:11" x14ac:dyDescent="0.35">
      <c r="A1732" t="s">
        <v>3291</v>
      </c>
      <c r="B1732" t="s">
        <v>3292</v>
      </c>
      <c r="C1732">
        <v>118835</v>
      </c>
      <c r="D1732">
        <v>321</v>
      </c>
      <c r="E1732">
        <v>7518</v>
      </c>
      <c r="F1732">
        <v>8</v>
      </c>
      <c r="G1732">
        <v>55</v>
      </c>
      <c r="H1732" t="b">
        <v>0</v>
      </c>
      <c r="I1732">
        <f t="shared" ref="I1732:I1795" si="54">--H1732</f>
        <v>0</v>
      </c>
      <c r="J1732" t="str">
        <f t="shared" ref="J1732:J1795" si="55">IF(D1732&gt;750, "751-850 (Excellent)", IF(D1732&gt;600, "601-750 (Good)", IF(D1732&gt;450, "451-600 (Fair)", "300-450 (Poor)")))</f>
        <v>300-450 (Poor)</v>
      </c>
      <c r="K1732" s="1"/>
    </row>
    <row r="1733" spans="1:11" x14ac:dyDescent="0.35">
      <c r="A1733" t="s">
        <v>3240</v>
      </c>
      <c r="B1733" t="s">
        <v>3241</v>
      </c>
      <c r="C1733">
        <v>65976</v>
      </c>
      <c r="D1733">
        <v>456</v>
      </c>
      <c r="E1733">
        <v>7461</v>
      </c>
      <c r="F1733">
        <v>34</v>
      </c>
      <c r="G1733">
        <v>45</v>
      </c>
      <c r="H1733" t="b">
        <v>0</v>
      </c>
      <c r="I1733">
        <f t="shared" si="54"/>
        <v>0</v>
      </c>
      <c r="J1733" t="str">
        <f t="shared" si="55"/>
        <v>451-600 (Fair)</v>
      </c>
      <c r="K1733" s="1"/>
    </row>
    <row r="1734" spans="1:11" x14ac:dyDescent="0.35">
      <c r="A1734" t="s">
        <v>3502</v>
      </c>
      <c r="B1734" t="s">
        <v>1633</v>
      </c>
      <c r="C1734">
        <v>94569</v>
      </c>
      <c r="D1734">
        <v>736</v>
      </c>
      <c r="E1734">
        <v>7439</v>
      </c>
      <c r="F1734">
        <v>9</v>
      </c>
      <c r="G1734">
        <v>75</v>
      </c>
      <c r="H1734" t="b">
        <v>1</v>
      </c>
      <c r="I1734">
        <f t="shared" si="54"/>
        <v>1</v>
      </c>
      <c r="J1734" t="str">
        <f t="shared" si="55"/>
        <v>601-750 (Good)</v>
      </c>
      <c r="K1734" s="1"/>
    </row>
    <row r="1735" spans="1:11" x14ac:dyDescent="0.35">
      <c r="A1735" t="s">
        <v>1232</v>
      </c>
      <c r="B1735" t="s">
        <v>1233</v>
      </c>
      <c r="C1735">
        <v>90332</v>
      </c>
      <c r="D1735">
        <v>779</v>
      </c>
      <c r="E1735">
        <v>7374</v>
      </c>
      <c r="F1735">
        <v>29</v>
      </c>
      <c r="G1735">
        <v>90</v>
      </c>
      <c r="H1735" t="b">
        <v>1</v>
      </c>
      <c r="I1735">
        <f t="shared" si="54"/>
        <v>1</v>
      </c>
      <c r="J1735" t="str">
        <f t="shared" si="55"/>
        <v>751-850 (Excellent)</v>
      </c>
      <c r="K1735" s="1"/>
    </row>
    <row r="1736" spans="1:11" x14ac:dyDescent="0.35">
      <c r="A1736" t="s">
        <v>3062</v>
      </c>
      <c r="B1736" t="s">
        <v>3063</v>
      </c>
      <c r="C1736">
        <v>119705</v>
      </c>
      <c r="D1736">
        <v>463</v>
      </c>
      <c r="E1736">
        <v>7372</v>
      </c>
      <c r="F1736">
        <v>3</v>
      </c>
      <c r="G1736">
        <v>50</v>
      </c>
      <c r="H1736" t="b">
        <v>0</v>
      </c>
      <c r="I1736">
        <f t="shared" si="54"/>
        <v>0</v>
      </c>
      <c r="J1736" t="str">
        <f t="shared" si="55"/>
        <v>451-600 (Fair)</v>
      </c>
      <c r="K1736" s="1"/>
    </row>
    <row r="1737" spans="1:11" x14ac:dyDescent="0.35">
      <c r="A1737" t="s">
        <v>1905</v>
      </c>
      <c r="B1737" t="s">
        <v>1906</v>
      </c>
      <c r="C1737">
        <v>115426</v>
      </c>
      <c r="D1737">
        <v>342</v>
      </c>
      <c r="E1737">
        <v>7346</v>
      </c>
      <c r="F1737">
        <v>13</v>
      </c>
      <c r="G1737">
        <v>60</v>
      </c>
      <c r="H1737" t="b">
        <v>1</v>
      </c>
      <c r="I1737">
        <f t="shared" si="54"/>
        <v>1</v>
      </c>
      <c r="J1737" t="str">
        <f t="shared" si="55"/>
        <v>300-450 (Poor)</v>
      </c>
      <c r="K1737" s="1"/>
    </row>
    <row r="1738" spans="1:11" x14ac:dyDescent="0.35">
      <c r="A1738" t="s">
        <v>412</v>
      </c>
      <c r="B1738" t="s">
        <v>413</v>
      </c>
      <c r="C1738">
        <v>74587</v>
      </c>
      <c r="D1738">
        <v>431</v>
      </c>
      <c r="E1738">
        <v>7336</v>
      </c>
      <c r="F1738">
        <v>25</v>
      </c>
      <c r="G1738">
        <v>50</v>
      </c>
      <c r="H1738" t="b">
        <v>0</v>
      </c>
      <c r="I1738">
        <f t="shared" si="54"/>
        <v>0</v>
      </c>
      <c r="J1738" t="str">
        <f t="shared" si="55"/>
        <v>300-450 (Poor)</v>
      </c>
      <c r="K1738" s="1"/>
    </row>
    <row r="1739" spans="1:11" x14ac:dyDescent="0.35">
      <c r="A1739" t="s">
        <v>1843</v>
      </c>
      <c r="B1739" t="s">
        <v>1844</v>
      </c>
      <c r="C1739">
        <v>47786</v>
      </c>
      <c r="D1739">
        <v>525</v>
      </c>
      <c r="E1739">
        <v>7330</v>
      </c>
      <c r="F1739">
        <v>10</v>
      </c>
      <c r="G1739">
        <v>35</v>
      </c>
      <c r="H1739" t="b">
        <v>0</v>
      </c>
      <c r="I1739">
        <f t="shared" si="54"/>
        <v>0</v>
      </c>
      <c r="J1739" t="str">
        <f t="shared" si="55"/>
        <v>451-600 (Fair)</v>
      </c>
      <c r="K1739" s="1"/>
    </row>
    <row r="1740" spans="1:11" x14ac:dyDescent="0.35">
      <c r="A1740" t="s">
        <v>1080</v>
      </c>
      <c r="B1740" t="s">
        <v>1081</v>
      </c>
      <c r="C1740">
        <v>51178</v>
      </c>
      <c r="D1740">
        <v>413</v>
      </c>
      <c r="E1740">
        <v>7308</v>
      </c>
      <c r="F1740">
        <v>33</v>
      </c>
      <c r="G1740">
        <v>45</v>
      </c>
      <c r="H1740" t="b">
        <v>0</v>
      </c>
      <c r="I1740">
        <f t="shared" si="54"/>
        <v>0</v>
      </c>
      <c r="J1740" t="str">
        <f t="shared" si="55"/>
        <v>300-450 (Poor)</v>
      </c>
      <c r="K1740" s="1"/>
    </row>
    <row r="1741" spans="1:11" x14ac:dyDescent="0.35">
      <c r="A1741" t="s">
        <v>2299</v>
      </c>
      <c r="B1741" t="s">
        <v>2300</v>
      </c>
      <c r="C1741">
        <v>59816</v>
      </c>
      <c r="D1741">
        <v>747</v>
      </c>
      <c r="E1741">
        <v>7294</v>
      </c>
      <c r="F1741">
        <v>8</v>
      </c>
      <c r="G1741">
        <v>75</v>
      </c>
      <c r="H1741" t="b">
        <v>1</v>
      </c>
      <c r="I1741">
        <f t="shared" si="54"/>
        <v>1</v>
      </c>
      <c r="J1741" t="str">
        <f t="shared" si="55"/>
        <v>601-750 (Good)</v>
      </c>
      <c r="K1741" s="1"/>
    </row>
    <row r="1742" spans="1:11" x14ac:dyDescent="0.35">
      <c r="A1742" t="s">
        <v>734</v>
      </c>
      <c r="B1742" t="s">
        <v>366</v>
      </c>
      <c r="C1742">
        <v>135909</v>
      </c>
      <c r="D1742">
        <v>543</v>
      </c>
      <c r="E1742">
        <v>7285</v>
      </c>
      <c r="F1742">
        <v>3</v>
      </c>
      <c r="G1742">
        <v>50</v>
      </c>
      <c r="H1742" t="b">
        <v>0</v>
      </c>
      <c r="I1742">
        <f t="shared" si="54"/>
        <v>0</v>
      </c>
      <c r="J1742" t="str">
        <f t="shared" si="55"/>
        <v>451-600 (Fair)</v>
      </c>
      <c r="K1742" s="1"/>
    </row>
    <row r="1743" spans="1:11" x14ac:dyDescent="0.35">
      <c r="A1743" t="s">
        <v>2583</v>
      </c>
      <c r="B1743" t="s">
        <v>2584</v>
      </c>
      <c r="C1743">
        <v>108385</v>
      </c>
      <c r="D1743">
        <v>548</v>
      </c>
      <c r="E1743">
        <v>7279</v>
      </c>
      <c r="F1743">
        <v>24</v>
      </c>
      <c r="G1743">
        <v>60</v>
      </c>
      <c r="H1743" t="b">
        <v>1</v>
      </c>
      <c r="I1743">
        <f t="shared" si="54"/>
        <v>1</v>
      </c>
      <c r="J1743" t="str">
        <f t="shared" si="55"/>
        <v>451-600 (Fair)</v>
      </c>
      <c r="K1743" s="1"/>
    </row>
    <row r="1744" spans="1:11" x14ac:dyDescent="0.35">
      <c r="A1744" t="s">
        <v>3014</v>
      </c>
      <c r="B1744" t="s">
        <v>3015</v>
      </c>
      <c r="C1744">
        <v>111691</v>
      </c>
      <c r="D1744">
        <v>823</v>
      </c>
      <c r="E1744">
        <v>7264</v>
      </c>
      <c r="F1744">
        <v>24</v>
      </c>
      <c r="G1744">
        <v>100</v>
      </c>
      <c r="H1744" t="b">
        <v>1</v>
      </c>
      <c r="I1744">
        <f t="shared" si="54"/>
        <v>1</v>
      </c>
      <c r="J1744" t="str">
        <f t="shared" si="55"/>
        <v>751-850 (Excellent)</v>
      </c>
      <c r="K1744" s="1"/>
    </row>
    <row r="1745" spans="1:11" x14ac:dyDescent="0.35">
      <c r="A1745" t="s">
        <v>2486</v>
      </c>
      <c r="B1745" t="s">
        <v>2487</v>
      </c>
      <c r="C1745">
        <v>60340</v>
      </c>
      <c r="D1745">
        <v>455</v>
      </c>
      <c r="E1745">
        <v>7262</v>
      </c>
      <c r="F1745">
        <v>37</v>
      </c>
      <c r="G1745">
        <v>45</v>
      </c>
      <c r="H1745" t="b">
        <v>0</v>
      </c>
      <c r="I1745">
        <f t="shared" si="54"/>
        <v>0</v>
      </c>
      <c r="J1745" t="str">
        <f t="shared" si="55"/>
        <v>451-600 (Fair)</v>
      </c>
      <c r="K1745" s="1"/>
    </row>
    <row r="1746" spans="1:11" x14ac:dyDescent="0.35">
      <c r="A1746" t="s">
        <v>3452</v>
      </c>
      <c r="B1746" t="s">
        <v>3453</v>
      </c>
      <c r="C1746">
        <v>78689</v>
      </c>
      <c r="D1746">
        <v>698</v>
      </c>
      <c r="E1746">
        <v>7246</v>
      </c>
      <c r="F1746">
        <v>29</v>
      </c>
      <c r="G1746">
        <v>80</v>
      </c>
      <c r="H1746" t="b">
        <v>1</v>
      </c>
      <c r="I1746">
        <f t="shared" si="54"/>
        <v>1</v>
      </c>
      <c r="J1746" t="str">
        <f t="shared" si="55"/>
        <v>601-750 (Good)</v>
      </c>
      <c r="K1746" s="1"/>
    </row>
    <row r="1747" spans="1:11" x14ac:dyDescent="0.35">
      <c r="A1747" t="s">
        <v>2227</v>
      </c>
      <c r="B1747" t="s">
        <v>2228</v>
      </c>
      <c r="C1747">
        <v>75056</v>
      </c>
      <c r="D1747">
        <v>781</v>
      </c>
      <c r="E1747">
        <v>7233</v>
      </c>
      <c r="F1747">
        <v>26</v>
      </c>
      <c r="G1747">
        <v>90</v>
      </c>
      <c r="H1747" t="b">
        <v>1</v>
      </c>
      <c r="I1747">
        <f t="shared" si="54"/>
        <v>1</v>
      </c>
      <c r="J1747" t="str">
        <f t="shared" si="55"/>
        <v>751-850 (Excellent)</v>
      </c>
      <c r="K1747" s="1"/>
    </row>
    <row r="1748" spans="1:11" x14ac:dyDescent="0.35">
      <c r="A1748" t="s">
        <v>1597</v>
      </c>
      <c r="B1748" t="s">
        <v>1598</v>
      </c>
      <c r="C1748">
        <v>90901</v>
      </c>
      <c r="D1748">
        <v>722</v>
      </c>
      <c r="E1748">
        <v>7192</v>
      </c>
      <c r="F1748">
        <v>29</v>
      </c>
      <c r="G1748">
        <v>80</v>
      </c>
      <c r="H1748" t="b">
        <v>1</v>
      </c>
      <c r="I1748">
        <f t="shared" si="54"/>
        <v>1</v>
      </c>
      <c r="J1748" t="str">
        <f t="shared" si="55"/>
        <v>601-750 (Good)</v>
      </c>
      <c r="K1748" s="1"/>
    </row>
    <row r="1749" spans="1:11" x14ac:dyDescent="0.35">
      <c r="A1749" t="s">
        <v>2130</v>
      </c>
      <c r="B1749" t="s">
        <v>2131</v>
      </c>
      <c r="C1749">
        <v>33761</v>
      </c>
      <c r="D1749">
        <v>810</v>
      </c>
      <c r="E1749">
        <v>7167</v>
      </c>
      <c r="F1749">
        <v>29</v>
      </c>
      <c r="G1749">
        <v>75</v>
      </c>
      <c r="H1749" t="b">
        <v>1</v>
      </c>
      <c r="I1749">
        <f t="shared" si="54"/>
        <v>1</v>
      </c>
      <c r="J1749" t="str">
        <f t="shared" si="55"/>
        <v>751-850 (Excellent)</v>
      </c>
      <c r="K1749" s="1"/>
    </row>
    <row r="1750" spans="1:11" x14ac:dyDescent="0.35">
      <c r="A1750" t="s">
        <v>1592</v>
      </c>
      <c r="B1750" t="s">
        <v>368</v>
      </c>
      <c r="C1750">
        <v>89829</v>
      </c>
      <c r="D1750">
        <v>736</v>
      </c>
      <c r="E1750">
        <v>7091</v>
      </c>
      <c r="F1750">
        <v>2</v>
      </c>
      <c r="G1750">
        <v>70</v>
      </c>
      <c r="H1750" t="b">
        <v>1</v>
      </c>
      <c r="I1750">
        <f t="shared" si="54"/>
        <v>1</v>
      </c>
      <c r="J1750" t="str">
        <f t="shared" si="55"/>
        <v>601-750 (Good)</v>
      </c>
      <c r="K1750" s="1"/>
    </row>
    <row r="1751" spans="1:11" x14ac:dyDescent="0.35">
      <c r="A1751" t="s">
        <v>1665</v>
      </c>
      <c r="B1751" t="s">
        <v>1666</v>
      </c>
      <c r="C1751">
        <v>112149</v>
      </c>
      <c r="D1751">
        <v>383</v>
      </c>
      <c r="E1751">
        <v>7045</v>
      </c>
      <c r="F1751">
        <v>3</v>
      </c>
      <c r="G1751">
        <v>50</v>
      </c>
      <c r="H1751" t="b">
        <v>0</v>
      </c>
      <c r="I1751">
        <f t="shared" si="54"/>
        <v>0</v>
      </c>
      <c r="J1751" t="str">
        <f t="shared" si="55"/>
        <v>300-450 (Poor)</v>
      </c>
      <c r="K1751" s="1"/>
    </row>
    <row r="1752" spans="1:11" x14ac:dyDescent="0.35">
      <c r="A1752" t="s">
        <v>890</v>
      </c>
      <c r="B1752" t="s">
        <v>891</v>
      </c>
      <c r="C1752">
        <v>40745</v>
      </c>
      <c r="D1752">
        <v>713</v>
      </c>
      <c r="E1752">
        <v>7025</v>
      </c>
      <c r="F1752">
        <v>22</v>
      </c>
      <c r="G1752">
        <v>60</v>
      </c>
      <c r="H1752" t="b">
        <v>1</v>
      </c>
      <c r="I1752">
        <f t="shared" si="54"/>
        <v>1</v>
      </c>
      <c r="J1752" t="str">
        <f t="shared" si="55"/>
        <v>601-750 (Good)</v>
      </c>
      <c r="K1752" s="1"/>
    </row>
    <row r="1753" spans="1:11" x14ac:dyDescent="0.35">
      <c r="A1753" t="s">
        <v>2241</v>
      </c>
      <c r="B1753" t="s">
        <v>2242</v>
      </c>
      <c r="C1753">
        <v>89473</v>
      </c>
      <c r="D1753">
        <v>531</v>
      </c>
      <c r="E1753">
        <v>7016</v>
      </c>
      <c r="F1753">
        <v>16</v>
      </c>
      <c r="G1753">
        <v>55</v>
      </c>
      <c r="H1753" t="b">
        <v>0</v>
      </c>
      <c r="I1753">
        <f t="shared" si="54"/>
        <v>0</v>
      </c>
      <c r="J1753" t="str">
        <f t="shared" si="55"/>
        <v>451-600 (Fair)</v>
      </c>
      <c r="K1753" s="1"/>
    </row>
    <row r="1754" spans="1:11" x14ac:dyDescent="0.35">
      <c r="A1754" t="s">
        <v>1867</v>
      </c>
      <c r="B1754" t="s">
        <v>1868</v>
      </c>
      <c r="C1754">
        <v>129775</v>
      </c>
      <c r="D1754">
        <v>428</v>
      </c>
      <c r="E1754">
        <v>7013</v>
      </c>
      <c r="F1754">
        <v>11</v>
      </c>
      <c r="G1754">
        <v>60</v>
      </c>
      <c r="H1754" t="b">
        <v>1</v>
      </c>
      <c r="I1754">
        <f t="shared" si="54"/>
        <v>1</v>
      </c>
      <c r="J1754" t="str">
        <f t="shared" si="55"/>
        <v>300-450 (Poor)</v>
      </c>
      <c r="K1754" s="1"/>
    </row>
    <row r="1755" spans="1:11" x14ac:dyDescent="0.35">
      <c r="A1755" t="s">
        <v>2029</v>
      </c>
      <c r="B1755" t="s">
        <v>2030</v>
      </c>
      <c r="C1755">
        <v>116706</v>
      </c>
      <c r="D1755">
        <v>504</v>
      </c>
      <c r="E1755">
        <v>6959</v>
      </c>
      <c r="F1755">
        <v>3</v>
      </c>
      <c r="G1755">
        <v>50</v>
      </c>
      <c r="H1755" t="b">
        <v>0</v>
      </c>
      <c r="I1755">
        <f t="shared" si="54"/>
        <v>0</v>
      </c>
      <c r="J1755" t="str">
        <f t="shared" si="55"/>
        <v>451-600 (Fair)</v>
      </c>
      <c r="K1755" s="1"/>
    </row>
    <row r="1756" spans="1:11" x14ac:dyDescent="0.35">
      <c r="A1756" t="s">
        <v>849</v>
      </c>
      <c r="B1756" t="s">
        <v>850</v>
      </c>
      <c r="C1756">
        <v>50635</v>
      </c>
      <c r="D1756">
        <v>300</v>
      </c>
      <c r="E1756">
        <v>6956</v>
      </c>
      <c r="F1756">
        <v>38</v>
      </c>
      <c r="G1756">
        <v>45</v>
      </c>
      <c r="H1756" t="b">
        <v>0</v>
      </c>
      <c r="I1756">
        <f t="shared" si="54"/>
        <v>0</v>
      </c>
      <c r="J1756" t="str">
        <f t="shared" si="55"/>
        <v>300-450 (Poor)</v>
      </c>
      <c r="K1756" s="1"/>
    </row>
    <row r="1757" spans="1:11" x14ac:dyDescent="0.35">
      <c r="A1757" t="s">
        <v>1113</v>
      </c>
      <c r="B1757" t="s">
        <v>1114</v>
      </c>
      <c r="C1757">
        <v>78393</v>
      </c>
      <c r="D1757">
        <v>816</v>
      </c>
      <c r="E1757">
        <v>6903</v>
      </c>
      <c r="F1757">
        <v>14</v>
      </c>
      <c r="G1757">
        <v>95</v>
      </c>
      <c r="H1757" t="b">
        <v>1</v>
      </c>
      <c r="I1757">
        <f t="shared" si="54"/>
        <v>1</v>
      </c>
      <c r="J1757" t="str">
        <f t="shared" si="55"/>
        <v>751-850 (Excellent)</v>
      </c>
      <c r="K1757" s="1"/>
    </row>
    <row r="1758" spans="1:11" x14ac:dyDescent="0.35">
      <c r="A1758" t="s">
        <v>1693</v>
      </c>
      <c r="B1758" t="s">
        <v>1694</v>
      </c>
      <c r="C1758">
        <v>48136</v>
      </c>
      <c r="D1758">
        <v>561</v>
      </c>
      <c r="E1758">
        <v>6873</v>
      </c>
      <c r="F1758">
        <v>9</v>
      </c>
      <c r="G1758">
        <v>30</v>
      </c>
      <c r="H1758" t="b">
        <v>0</v>
      </c>
      <c r="I1758">
        <f t="shared" si="54"/>
        <v>0</v>
      </c>
      <c r="J1758" t="str">
        <f t="shared" si="55"/>
        <v>451-600 (Fair)</v>
      </c>
      <c r="K1758" s="1"/>
    </row>
    <row r="1759" spans="1:11" x14ac:dyDescent="0.35">
      <c r="A1759" t="s">
        <v>3837</v>
      </c>
      <c r="B1759" t="s">
        <v>3838</v>
      </c>
      <c r="C1759">
        <v>115316</v>
      </c>
      <c r="D1759">
        <v>337</v>
      </c>
      <c r="E1759">
        <v>6868</v>
      </c>
      <c r="F1759">
        <v>38</v>
      </c>
      <c r="G1759">
        <v>60</v>
      </c>
      <c r="H1759" t="b">
        <v>1</v>
      </c>
      <c r="I1759">
        <f t="shared" si="54"/>
        <v>1</v>
      </c>
      <c r="J1759" t="str">
        <f t="shared" si="55"/>
        <v>300-450 (Poor)</v>
      </c>
      <c r="K1759" s="1"/>
    </row>
    <row r="1760" spans="1:11" x14ac:dyDescent="0.35">
      <c r="A1760" t="s">
        <v>1066</v>
      </c>
      <c r="B1760" t="s">
        <v>1067</v>
      </c>
      <c r="C1760">
        <v>35778</v>
      </c>
      <c r="D1760">
        <v>680</v>
      </c>
      <c r="E1760">
        <v>6864</v>
      </c>
      <c r="F1760">
        <v>15</v>
      </c>
      <c r="G1760">
        <v>60</v>
      </c>
      <c r="H1760" t="b">
        <v>1</v>
      </c>
      <c r="I1760">
        <f t="shared" si="54"/>
        <v>1</v>
      </c>
      <c r="J1760" t="str">
        <f t="shared" si="55"/>
        <v>601-750 (Good)</v>
      </c>
      <c r="K1760" s="1"/>
    </row>
    <row r="1761" spans="1:11" x14ac:dyDescent="0.35">
      <c r="A1761" t="s">
        <v>1681</v>
      </c>
      <c r="B1761" t="s">
        <v>1682</v>
      </c>
      <c r="C1761">
        <v>65614</v>
      </c>
      <c r="D1761">
        <v>633</v>
      </c>
      <c r="E1761">
        <v>6853</v>
      </c>
      <c r="F1761">
        <v>39</v>
      </c>
      <c r="G1761">
        <v>60</v>
      </c>
      <c r="H1761" t="b">
        <v>1</v>
      </c>
      <c r="I1761">
        <f t="shared" si="54"/>
        <v>1</v>
      </c>
      <c r="J1761" t="str">
        <f t="shared" si="55"/>
        <v>601-750 (Good)</v>
      </c>
      <c r="K1761" s="1"/>
    </row>
    <row r="1762" spans="1:11" x14ac:dyDescent="0.35">
      <c r="A1762" t="s">
        <v>1550</v>
      </c>
      <c r="B1762" t="s">
        <v>1053</v>
      </c>
      <c r="C1762">
        <v>115990</v>
      </c>
      <c r="D1762">
        <v>452</v>
      </c>
      <c r="E1762">
        <v>6836</v>
      </c>
      <c r="F1762">
        <v>23</v>
      </c>
      <c r="G1762">
        <v>60</v>
      </c>
      <c r="H1762" t="b">
        <v>1</v>
      </c>
      <c r="I1762">
        <f t="shared" si="54"/>
        <v>1</v>
      </c>
      <c r="J1762" t="str">
        <f t="shared" si="55"/>
        <v>451-600 (Fair)</v>
      </c>
      <c r="K1762" s="1"/>
    </row>
    <row r="1763" spans="1:11" x14ac:dyDescent="0.35">
      <c r="A1763" t="s">
        <v>1549</v>
      </c>
      <c r="B1763" t="s">
        <v>748</v>
      </c>
      <c r="C1763">
        <v>49342</v>
      </c>
      <c r="D1763">
        <v>534</v>
      </c>
      <c r="E1763">
        <v>6831</v>
      </c>
      <c r="F1763">
        <v>29</v>
      </c>
      <c r="G1763">
        <v>35</v>
      </c>
      <c r="H1763" t="b">
        <v>0</v>
      </c>
      <c r="I1763">
        <f t="shared" si="54"/>
        <v>0</v>
      </c>
      <c r="J1763" t="str">
        <f t="shared" si="55"/>
        <v>451-600 (Fair)</v>
      </c>
      <c r="K1763" s="1"/>
    </row>
    <row r="1764" spans="1:11" x14ac:dyDescent="0.35">
      <c r="A1764" t="s">
        <v>2826</v>
      </c>
      <c r="B1764" t="s">
        <v>2827</v>
      </c>
      <c r="C1764">
        <v>93242</v>
      </c>
      <c r="D1764">
        <v>811</v>
      </c>
      <c r="E1764">
        <v>6824</v>
      </c>
      <c r="F1764">
        <v>21</v>
      </c>
      <c r="G1764">
        <v>95</v>
      </c>
      <c r="H1764" t="b">
        <v>1</v>
      </c>
      <c r="I1764">
        <f t="shared" si="54"/>
        <v>1</v>
      </c>
      <c r="J1764" t="str">
        <f t="shared" si="55"/>
        <v>751-850 (Excellent)</v>
      </c>
      <c r="K1764" s="1"/>
    </row>
    <row r="1765" spans="1:11" x14ac:dyDescent="0.35">
      <c r="A1765" t="s">
        <v>2551</v>
      </c>
      <c r="B1765" t="s">
        <v>2552</v>
      </c>
      <c r="C1765">
        <v>128167</v>
      </c>
      <c r="D1765">
        <v>774</v>
      </c>
      <c r="E1765">
        <v>6777</v>
      </c>
      <c r="F1765">
        <v>7</v>
      </c>
      <c r="G1765">
        <v>90</v>
      </c>
      <c r="H1765" t="b">
        <v>1</v>
      </c>
      <c r="I1765">
        <f t="shared" si="54"/>
        <v>1</v>
      </c>
      <c r="J1765" t="str">
        <f t="shared" si="55"/>
        <v>751-850 (Excellent)</v>
      </c>
      <c r="K1765" s="1"/>
    </row>
    <row r="1766" spans="1:11" x14ac:dyDescent="0.35">
      <c r="A1766" t="s">
        <v>847</v>
      </c>
      <c r="B1766" t="s">
        <v>848</v>
      </c>
      <c r="C1766">
        <v>99615</v>
      </c>
      <c r="D1766">
        <v>758</v>
      </c>
      <c r="E1766">
        <v>6768</v>
      </c>
      <c r="F1766">
        <v>31</v>
      </c>
      <c r="G1766">
        <v>90</v>
      </c>
      <c r="H1766" t="b">
        <v>1</v>
      </c>
      <c r="I1766">
        <f t="shared" si="54"/>
        <v>1</v>
      </c>
      <c r="J1766" t="str">
        <f t="shared" si="55"/>
        <v>751-850 (Excellent)</v>
      </c>
      <c r="K1766" s="1"/>
    </row>
    <row r="1767" spans="1:11" x14ac:dyDescent="0.35">
      <c r="A1767" t="s">
        <v>1210</v>
      </c>
      <c r="B1767" t="s">
        <v>1211</v>
      </c>
      <c r="C1767">
        <v>133202</v>
      </c>
      <c r="D1767">
        <v>723</v>
      </c>
      <c r="E1767">
        <v>6688</v>
      </c>
      <c r="F1767">
        <v>31</v>
      </c>
      <c r="G1767">
        <v>85</v>
      </c>
      <c r="H1767" t="b">
        <v>1</v>
      </c>
      <c r="I1767">
        <f t="shared" si="54"/>
        <v>1</v>
      </c>
      <c r="J1767" t="str">
        <f t="shared" si="55"/>
        <v>601-750 (Good)</v>
      </c>
      <c r="K1767" s="1"/>
    </row>
    <row r="1768" spans="1:11" x14ac:dyDescent="0.35">
      <c r="A1768" t="s">
        <v>1360</v>
      </c>
      <c r="B1768" t="s">
        <v>1361</v>
      </c>
      <c r="C1768">
        <v>39171</v>
      </c>
      <c r="D1768">
        <v>535</v>
      </c>
      <c r="E1768">
        <v>6667</v>
      </c>
      <c r="F1768">
        <v>26</v>
      </c>
      <c r="G1768">
        <v>35</v>
      </c>
      <c r="H1768" t="b">
        <v>0</v>
      </c>
      <c r="I1768">
        <f t="shared" si="54"/>
        <v>0</v>
      </c>
      <c r="J1768" t="str">
        <f t="shared" si="55"/>
        <v>451-600 (Fair)</v>
      </c>
      <c r="K1768" s="1"/>
    </row>
    <row r="1769" spans="1:11" x14ac:dyDescent="0.35">
      <c r="A1769" t="s">
        <v>1298</v>
      </c>
      <c r="B1769" t="s">
        <v>1299</v>
      </c>
      <c r="C1769">
        <v>44208</v>
      </c>
      <c r="D1769">
        <v>422</v>
      </c>
      <c r="E1769">
        <v>6661</v>
      </c>
      <c r="F1769">
        <v>38</v>
      </c>
      <c r="G1769">
        <v>35</v>
      </c>
      <c r="H1769" t="b">
        <v>0</v>
      </c>
      <c r="I1769">
        <f t="shared" si="54"/>
        <v>0</v>
      </c>
      <c r="J1769" t="str">
        <f t="shared" si="55"/>
        <v>300-450 (Poor)</v>
      </c>
      <c r="K1769" s="1"/>
    </row>
    <row r="1770" spans="1:11" x14ac:dyDescent="0.35">
      <c r="A1770" t="s">
        <v>3589</v>
      </c>
      <c r="B1770" t="s">
        <v>3590</v>
      </c>
      <c r="C1770">
        <v>82184</v>
      </c>
      <c r="D1770">
        <v>338</v>
      </c>
      <c r="E1770">
        <v>6636</v>
      </c>
      <c r="F1770">
        <v>23</v>
      </c>
      <c r="G1770">
        <v>55</v>
      </c>
      <c r="H1770" t="b">
        <v>0</v>
      </c>
      <c r="I1770">
        <f t="shared" si="54"/>
        <v>0</v>
      </c>
      <c r="J1770" t="str">
        <f t="shared" si="55"/>
        <v>300-450 (Poor)</v>
      </c>
      <c r="K1770" s="1"/>
    </row>
    <row r="1771" spans="1:11" x14ac:dyDescent="0.35">
      <c r="A1771" t="s">
        <v>1799</v>
      </c>
      <c r="B1771" t="s">
        <v>1800</v>
      </c>
      <c r="C1771">
        <v>74057</v>
      </c>
      <c r="D1771">
        <v>648</v>
      </c>
      <c r="E1771">
        <v>6627</v>
      </c>
      <c r="F1771">
        <v>20</v>
      </c>
      <c r="G1771">
        <v>65</v>
      </c>
      <c r="H1771" t="b">
        <v>1</v>
      </c>
      <c r="I1771">
        <f t="shared" si="54"/>
        <v>1</v>
      </c>
      <c r="J1771" t="str">
        <f t="shared" si="55"/>
        <v>601-750 (Good)</v>
      </c>
      <c r="K1771" s="1"/>
    </row>
    <row r="1772" spans="1:11" x14ac:dyDescent="0.35">
      <c r="A1772" t="s">
        <v>2141</v>
      </c>
      <c r="B1772" t="s">
        <v>2142</v>
      </c>
      <c r="C1772">
        <v>57802</v>
      </c>
      <c r="D1772">
        <v>411</v>
      </c>
      <c r="E1772">
        <v>6624</v>
      </c>
      <c r="F1772">
        <v>11</v>
      </c>
      <c r="G1772">
        <v>45</v>
      </c>
      <c r="H1772" t="b">
        <v>0</v>
      </c>
      <c r="I1772">
        <f t="shared" si="54"/>
        <v>0</v>
      </c>
      <c r="J1772" t="str">
        <f t="shared" si="55"/>
        <v>300-450 (Poor)</v>
      </c>
      <c r="K1772" s="1"/>
    </row>
    <row r="1773" spans="1:11" x14ac:dyDescent="0.35">
      <c r="A1773" t="s">
        <v>47</v>
      </c>
      <c r="B1773" t="s">
        <v>48</v>
      </c>
      <c r="C1773">
        <v>107397</v>
      </c>
      <c r="D1773">
        <v>380</v>
      </c>
      <c r="E1773">
        <v>6613</v>
      </c>
      <c r="F1773">
        <v>31</v>
      </c>
      <c r="G1773">
        <v>60</v>
      </c>
      <c r="H1773" t="b">
        <v>1</v>
      </c>
      <c r="I1773">
        <f t="shared" si="54"/>
        <v>1</v>
      </c>
      <c r="J1773" t="str">
        <f t="shared" si="55"/>
        <v>300-450 (Poor)</v>
      </c>
      <c r="K1773" s="1"/>
    </row>
    <row r="1774" spans="1:11" x14ac:dyDescent="0.35">
      <c r="A1774" t="s">
        <v>1642</v>
      </c>
      <c r="B1774" t="s">
        <v>1643</v>
      </c>
      <c r="C1774">
        <v>92216</v>
      </c>
      <c r="D1774">
        <v>475</v>
      </c>
      <c r="E1774">
        <v>6585</v>
      </c>
      <c r="F1774">
        <v>17</v>
      </c>
      <c r="G1774">
        <v>55</v>
      </c>
      <c r="H1774" t="b">
        <v>0</v>
      </c>
      <c r="I1774">
        <f t="shared" si="54"/>
        <v>0</v>
      </c>
      <c r="J1774" t="str">
        <f t="shared" si="55"/>
        <v>451-600 (Fair)</v>
      </c>
      <c r="K1774" s="1"/>
    </row>
    <row r="1775" spans="1:11" x14ac:dyDescent="0.35">
      <c r="A1775" t="s">
        <v>173</v>
      </c>
      <c r="B1775" t="s">
        <v>174</v>
      </c>
      <c r="C1775">
        <v>39116</v>
      </c>
      <c r="D1775">
        <v>611</v>
      </c>
      <c r="E1775">
        <v>6582</v>
      </c>
      <c r="F1775">
        <v>15</v>
      </c>
      <c r="G1775">
        <v>50</v>
      </c>
      <c r="H1775" t="b">
        <v>0</v>
      </c>
      <c r="I1775">
        <f t="shared" si="54"/>
        <v>0</v>
      </c>
      <c r="J1775" t="str">
        <f t="shared" si="55"/>
        <v>601-750 (Good)</v>
      </c>
      <c r="K1775" s="1"/>
    </row>
    <row r="1776" spans="1:11" x14ac:dyDescent="0.35">
      <c r="A1776" t="s">
        <v>1689</v>
      </c>
      <c r="B1776" t="s">
        <v>1690</v>
      </c>
      <c r="C1776">
        <v>100798</v>
      </c>
      <c r="D1776">
        <v>754</v>
      </c>
      <c r="E1776">
        <v>6547</v>
      </c>
      <c r="F1776">
        <v>34</v>
      </c>
      <c r="G1776">
        <v>95</v>
      </c>
      <c r="H1776" t="b">
        <v>1</v>
      </c>
      <c r="I1776">
        <f t="shared" si="54"/>
        <v>1</v>
      </c>
      <c r="J1776" t="str">
        <f t="shared" si="55"/>
        <v>751-850 (Excellent)</v>
      </c>
      <c r="K1776" s="1"/>
    </row>
    <row r="1777" spans="1:11" x14ac:dyDescent="0.35">
      <c r="A1777" t="s">
        <v>3545</v>
      </c>
      <c r="B1777" t="s">
        <v>3546</v>
      </c>
      <c r="C1777">
        <v>139273</v>
      </c>
      <c r="D1777">
        <v>447</v>
      </c>
      <c r="E1777">
        <v>6528</v>
      </c>
      <c r="F1777">
        <v>10</v>
      </c>
      <c r="G1777">
        <v>60</v>
      </c>
      <c r="H1777" t="b">
        <v>1</v>
      </c>
      <c r="I1777">
        <f t="shared" si="54"/>
        <v>1</v>
      </c>
      <c r="J1777" t="str">
        <f t="shared" si="55"/>
        <v>300-450 (Poor)</v>
      </c>
      <c r="K1777" s="1"/>
    </row>
    <row r="1778" spans="1:11" x14ac:dyDescent="0.35">
      <c r="A1778" t="s">
        <v>1593</v>
      </c>
      <c r="B1778" t="s">
        <v>1594</v>
      </c>
      <c r="C1778">
        <v>47477</v>
      </c>
      <c r="D1778">
        <v>837</v>
      </c>
      <c r="E1778">
        <v>6503</v>
      </c>
      <c r="F1778">
        <v>18</v>
      </c>
      <c r="G1778">
        <v>75</v>
      </c>
      <c r="H1778" t="b">
        <v>1</v>
      </c>
      <c r="I1778">
        <f t="shared" si="54"/>
        <v>1</v>
      </c>
      <c r="J1778" t="str">
        <f t="shared" si="55"/>
        <v>751-850 (Excellent)</v>
      </c>
      <c r="K1778" s="1"/>
    </row>
    <row r="1779" spans="1:11" x14ac:dyDescent="0.35">
      <c r="A1779" t="s">
        <v>966</v>
      </c>
      <c r="B1779" t="s">
        <v>967</v>
      </c>
      <c r="C1779">
        <v>62018</v>
      </c>
      <c r="D1779">
        <v>538</v>
      </c>
      <c r="E1779">
        <v>6493</v>
      </c>
      <c r="F1779">
        <v>18</v>
      </c>
      <c r="G1779">
        <v>45</v>
      </c>
      <c r="H1779" t="b">
        <v>0</v>
      </c>
      <c r="I1779">
        <f t="shared" si="54"/>
        <v>0</v>
      </c>
      <c r="J1779" t="str">
        <f t="shared" si="55"/>
        <v>451-600 (Fair)</v>
      </c>
      <c r="K1779" s="1"/>
    </row>
    <row r="1780" spans="1:11" x14ac:dyDescent="0.35">
      <c r="A1780" t="s">
        <v>2433</v>
      </c>
      <c r="B1780" t="s">
        <v>2434</v>
      </c>
      <c r="C1780">
        <v>104531</v>
      </c>
      <c r="D1780">
        <v>821</v>
      </c>
      <c r="E1780">
        <v>6491</v>
      </c>
      <c r="F1780">
        <v>9</v>
      </c>
      <c r="G1780">
        <v>95</v>
      </c>
      <c r="H1780" t="b">
        <v>1</v>
      </c>
      <c r="I1780">
        <f t="shared" si="54"/>
        <v>1</v>
      </c>
      <c r="J1780" t="str">
        <f t="shared" si="55"/>
        <v>751-850 (Excellent)</v>
      </c>
      <c r="K1780" s="1"/>
    </row>
    <row r="1781" spans="1:11" x14ac:dyDescent="0.35">
      <c r="A1781" t="s">
        <v>3405</v>
      </c>
      <c r="B1781" t="s">
        <v>3406</v>
      </c>
      <c r="C1781">
        <v>124924</v>
      </c>
      <c r="D1781">
        <v>331</v>
      </c>
      <c r="E1781">
        <v>6481</v>
      </c>
      <c r="F1781">
        <v>20</v>
      </c>
      <c r="G1781">
        <v>60</v>
      </c>
      <c r="H1781" t="b">
        <v>1</v>
      </c>
      <c r="I1781">
        <f t="shared" si="54"/>
        <v>1</v>
      </c>
      <c r="J1781" t="str">
        <f t="shared" si="55"/>
        <v>300-450 (Poor)</v>
      </c>
      <c r="K1781" s="1"/>
    </row>
    <row r="1782" spans="1:11" x14ac:dyDescent="0.35">
      <c r="A1782" t="s">
        <v>2204</v>
      </c>
      <c r="B1782" t="s">
        <v>2205</v>
      </c>
      <c r="C1782">
        <v>68566</v>
      </c>
      <c r="D1782">
        <v>525</v>
      </c>
      <c r="E1782">
        <v>6468</v>
      </c>
      <c r="F1782">
        <v>8</v>
      </c>
      <c r="G1782">
        <v>45</v>
      </c>
      <c r="H1782" t="b">
        <v>0</v>
      </c>
      <c r="I1782">
        <f t="shared" si="54"/>
        <v>0</v>
      </c>
      <c r="J1782" t="str">
        <f t="shared" si="55"/>
        <v>451-600 (Fair)</v>
      </c>
      <c r="K1782" s="1"/>
    </row>
    <row r="1783" spans="1:11" x14ac:dyDescent="0.35">
      <c r="A1783" t="s">
        <v>3299</v>
      </c>
      <c r="B1783" t="s">
        <v>3300</v>
      </c>
      <c r="C1783">
        <v>116400</v>
      </c>
      <c r="D1783">
        <v>584</v>
      </c>
      <c r="E1783">
        <v>6457</v>
      </c>
      <c r="F1783">
        <v>22</v>
      </c>
      <c r="G1783">
        <v>75</v>
      </c>
      <c r="H1783" t="b">
        <v>1</v>
      </c>
      <c r="I1783">
        <f t="shared" si="54"/>
        <v>1</v>
      </c>
      <c r="J1783" t="str">
        <f t="shared" si="55"/>
        <v>451-600 (Fair)</v>
      </c>
      <c r="K1783" s="1"/>
    </row>
    <row r="1784" spans="1:11" x14ac:dyDescent="0.35">
      <c r="A1784" t="s">
        <v>1874</v>
      </c>
      <c r="B1784" t="s">
        <v>1875</v>
      </c>
      <c r="C1784">
        <v>128567</v>
      </c>
      <c r="D1784">
        <v>737</v>
      </c>
      <c r="E1784">
        <v>6454</v>
      </c>
      <c r="F1784">
        <v>19</v>
      </c>
      <c r="G1784">
        <v>85</v>
      </c>
      <c r="H1784" t="b">
        <v>1</v>
      </c>
      <c r="I1784">
        <f t="shared" si="54"/>
        <v>1</v>
      </c>
      <c r="J1784" t="str">
        <f t="shared" si="55"/>
        <v>601-750 (Good)</v>
      </c>
      <c r="K1784" s="1"/>
    </row>
    <row r="1785" spans="1:11" x14ac:dyDescent="0.35">
      <c r="A1785" t="s">
        <v>2192</v>
      </c>
      <c r="B1785" t="s">
        <v>2193</v>
      </c>
      <c r="C1785">
        <v>123302</v>
      </c>
      <c r="D1785">
        <v>581</v>
      </c>
      <c r="E1785">
        <v>6437</v>
      </c>
      <c r="F1785">
        <v>9</v>
      </c>
      <c r="G1785">
        <v>70</v>
      </c>
      <c r="H1785" t="b">
        <v>1</v>
      </c>
      <c r="I1785">
        <f t="shared" si="54"/>
        <v>1</v>
      </c>
      <c r="J1785" t="str">
        <f t="shared" si="55"/>
        <v>451-600 (Fair)</v>
      </c>
      <c r="K1785" s="1"/>
    </row>
    <row r="1786" spans="1:11" x14ac:dyDescent="0.35">
      <c r="A1786" t="s">
        <v>3432</v>
      </c>
      <c r="B1786" t="s">
        <v>3433</v>
      </c>
      <c r="C1786">
        <v>89609</v>
      </c>
      <c r="D1786">
        <v>557</v>
      </c>
      <c r="E1786">
        <v>6384</v>
      </c>
      <c r="F1786">
        <v>29</v>
      </c>
      <c r="G1786">
        <v>55</v>
      </c>
      <c r="H1786" t="b">
        <v>0</v>
      </c>
      <c r="I1786">
        <f t="shared" si="54"/>
        <v>0</v>
      </c>
      <c r="J1786" t="str">
        <f t="shared" si="55"/>
        <v>451-600 (Fair)</v>
      </c>
      <c r="K1786" s="1"/>
    </row>
    <row r="1787" spans="1:11" x14ac:dyDescent="0.35">
      <c r="A1787" t="s">
        <v>317</v>
      </c>
      <c r="B1787" t="s">
        <v>318</v>
      </c>
      <c r="C1787">
        <v>62325</v>
      </c>
      <c r="D1787">
        <v>641</v>
      </c>
      <c r="E1787">
        <v>6341</v>
      </c>
      <c r="F1787">
        <v>37</v>
      </c>
      <c r="G1787">
        <v>60</v>
      </c>
      <c r="H1787" t="b">
        <v>1</v>
      </c>
      <c r="I1787">
        <f t="shared" si="54"/>
        <v>1</v>
      </c>
      <c r="J1787" t="str">
        <f t="shared" si="55"/>
        <v>601-750 (Good)</v>
      </c>
      <c r="K1787" s="1"/>
    </row>
    <row r="1788" spans="1:11" x14ac:dyDescent="0.35">
      <c r="A1788" t="s">
        <v>265</v>
      </c>
      <c r="B1788" t="s">
        <v>266</v>
      </c>
      <c r="C1788">
        <v>37331</v>
      </c>
      <c r="D1788">
        <v>375</v>
      </c>
      <c r="E1788">
        <v>6294</v>
      </c>
      <c r="F1788">
        <v>20</v>
      </c>
      <c r="G1788">
        <v>35</v>
      </c>
      <c r="H1788" t="b">
        <v>0</v>
      </c>
      <c r="I1788">
        <f t="shared" si="54"/>
        <v>0</v>
      </c>
      <c r="J1788" t="str">
        <f t="shared" si="55"/>
        <v>300-450 (Poor)</v>
      </c>
      <c r="K1788" s="1"/>
    </row>
    <row r="1789" spans="1:11" x14ac:dyDescent="0.35">
      <c r="A1789" t="s">
        <v>2988</v>
      </c>
      <c r="B1789" t="s">
        <v>2989</v>
      </c>
      <c r="C1789">
        <v>89890</v>
      </c>
      <c r="D1789">
        <v>740</v>
      </c>
      <c r="E1789">
        <v>6239</v>
      </c>
      <c r="F1789">
        <v>28</v>
      </c>
      <c r="G1789">
        <v>90</v>
      </c>
      <c r="H1789" t="b">
        <v>1</v>
      </c>
      <c r="I1789">
        <f t="shared" si="54"/>
        <v>1</v>
      </c>
      <c r="J1789" t="str">
        <f t="shared" si="55"/>
        <v>601-750 (Good)</v>
      </c>
      <c r="K1789" s="1"/>
    </row>
    <row r="1790" spans="1:11" x14ac:dyDescent="0.35">
      <c r="A1790" t="s">
        <v>3188</v>
      </c>
      <c r="B1790" t="s">
        <v>3189</v>
      </c>
      <c r="C1790">
        <v>75293</v>
      </c>
      <c r="D1790">
        <v>556</v>
      </c>
      <c r="E1790">
        <v>6194</v>
      </c>
      <c r="F1790">
        <v>33</v>
      </c>
      <c r="G1790">
        <v>55</v>
      </c>
      <c r="H1790" t="b">
        <v>0</v>
      </c>
      <c r="I1790">
        <f t="shared" si="54"/>
        <v>0</v>
      </c>
      <c r="J1790" t="str">
        <f t="shared" si="55"/>
        <v>451-600 (Fair)</v>
      </c>
      <c r="K1790" s="1"/>
    </row>
    <row r="1791" spans="1:11" x14ac:dyDescent="0.35">
      <c r="A1791" t="s">
        <v>522</v>
      </c>
      <c r="B1791" t="s">
        <v>523</v>
      </c>
      <c r="C1791">
        <v>99822</v>
      </c>
      <c r="D1791">
        <v>706</v>
      </c>
      <c r="E1791">
        <v>6178</v>
      </c>
      <c r="F1791">
        <v>23</v>
      </c>
      <c r="G1791">
        <v>80</v>
      </c>
      <c r="H1791" t="b">
        <v>1</v>
      </c>
      <c r="I1791">
        <f t="shared" si="54"/>
        <v>1</v>
      </c>
      <c r="J1791" t="str">
        <f t="shared" si="55"/>
        <v>601-750 (Good)</v>
      </c>
      <c r="K1791" s="1"/>
    </row>
    <row r="1792" spans="1:11" x14ac:dyDescent="0.35">
      <c r="A1792" t="s">
        <v>2100</v>
      </c>
      <c r="B1792" t="s">
        <v>2101</v>
      </c>
      <c r="C1792">
        <v>141635</v>
      </c>
      <c r="D1792">
        <v>444</v>
      </c>
      <c r="E1792">
        <v>6176</v>
      </c>
      <c r="F1792">
        <v>15</v>
      </c>
      <c r="G1792">
        <v>60</v>
      </c>
      <c r="H1792" t="b">
        <v>1</v>
      </c>
      <c r="I1792">
        <f t="shared" si="54"/>
        <v>1</v>
      </c>
      <c r="J1792" t="str">
        <f t="shared" si="55"/>
        <v>300-450 (Poor)</v>
      </c>
      <c r="K1792" s="1"/>
    </row>
    <row r="1793" spans="1:11" x14ac:dyDescent="0.35">
      <c r="A1793" t="s">
        <v>1107</v>
      </c>
      <c r="B1793" t="s">
        <v>1108</v>
      </c>
      <c r="C1793">
        <v>101511</v>
      </c>
      <c r="D1793">
        <v>690</v>
      </c>
      <c r="E1793">
        <v>6143</v>
      </c>
      <c r="F1793">
        <v>3</v>
      </c>
      <c r="G1793">
        <v>75</v>
      </c>
      <c r="H1793" t="b">
        <v>1</v>
      </c>
      <c r="I1793">
        <f t="shared" si="54"/>
        <v>1</v>
      </c>
      <c r="J1793" t="str">
        <f t="shared" si="55"/>
        <v>601-750 (Good)</v>
      </c>
      <c r="K1793" s="1"/>
    </row>
    <row r="1794" spans="1:11" x14ac:dyDescent="0.35">
      <c r="A1794" t="s">
        <v>2112</v>
      </c>
      <c r="B1794" t="s">
        <v>2113</v>
      </c>
      <c r="C1794">
        <v>89087</v>
      </c>
      <c r="D1794">
        <v>406</v>
      </c>
      <c r="E1794">
        <v>6099</v>
      </c>
      <c r="F1794">
        <v>23</v>
      </c>
      <c r="G1794">
        <v>55</v>
      </c>
      <c r="H1794" t="b">
        <v>0</v>
      </c>
      <c r="I1794">
        <f t="shared" si="54"/>
        <v>0</v>
      </c>
      <c r="J1794" t="str">
        <f t="shared" si="55"/>
        <v>300-450 (Poor)</v>
      </c>
      <c r="K1794" s="1"/>
    </row>
    <row r="1795" spans="1:11" x14ac:dyDescent="0.35">
      <c r="A1795" t="s">
        <v>125</v>
      </c>
      <c r="B1795" t="s">
        <v>126</v>
      </c>
      <c r="C1795">
        <v>77052</v>
      </c>
      <c r="D1795">
        <v>750</v>
      </c>
      <c r="E1795">
        <v>6077</v>
      </c>
      <c r="F1795">
        <v>18</v>
      </c>
      <c r="G1795">
        <v>90</v>
      </c>
      <c r="H1795" t="b">
        <v>1</v>
      </c>
      <c r="I1795">
        <f t="shared" si="54"/>
        <v>1</v>
      </c>
      <c r="J1795" t="str">
        <f t="shared" si="55"/>
        <v>601-750 (Good)</v>
      </c>
      <c r="K1795" s="1"/>
    </row>
    <row r="1796" spans="1:11" x14ac:dyDescent="0.35">
      <c r="A1796" t="s">
        <v>323</v>
      </c>
      <c r="B1796" t="s">
        <v>324</v>
      </c>
      <c r="C1796">
        <v>100644</v>
      </c>
      <c r="D1796">
        <v>458</v>
      </c>
      <c r="E1796">
        <v>6057</v>
      </c>
      <c r="F1796">
        <v>18</v>
      </c>
      <c r="G1796">
        <v>60</v>
      </c>
      <c r="H1796" t="b">
        <v>1</v>
      </c>
      <c r="I1796">
        <f t="shared" ref="I1796:I1859" si="56">--H1796</f>
        <v>1</v>
      </c>
      <c r="J1796" t="str">
        <f t="shared" ref="J1796:J1859" si="57">IF(D1796&gt;750, "751-850 (Excellent)", IF(D1796&gt;600, "601-750 (Good)", IF(D1796&gt;450, "451-600 (Fair)", "300-450 (Poor)")))</f>
        <v>451-600 (Fair)</v>
      </c>
      <c r="K1796" s="1"/>
    </row>
    <row r="1797" spans="1:11" x14ac:dyDescent="0.35">
      <c r="A1797" t="s">
        <v>1277</v>
      </c>
      <c r="B1797" t="s">
        <v>1278</v>
      </c>
      <c r="C1797">
        <v>140580</v>
      </c>
      <c r="D1797">
        <v>817</v>
      </c>
      <c r="E1797">
        <v>6037</v>
      </c>
      <c r="F1797">
        <v>17</v>
      </c>
      <c r="G1797">
        <v>100</v>
      </c>
      <c r="H1797" t="b">
        <v>1</v>
      </c>
      <c r="I1797">
        <f t="shared" si="56"/>
        <v>1</v>
      </c>
      <c r="J1797" t="str">
        <f t="shared" si="57"/>
        <v>751-850 (Excellent)</v>
      </c>
      <c r="K1797" s="1"/>
    </row>
    <row r="1798" spans="1:11" x14ac:dyDescent="0.35">
      <c r="A1798" t="s">
        <v>2367</v>
      </c>
      <c r="B1798" t="s">
        <v>2368</v>
      </c>
      <c r="C1798">
        <v>82521</v>
      </c>
      <c r="D1798">
        <v>358</v>
      </c>
      <c r="E1798">
        <v>6020</v>
      </c>
      <c r="F1798">
        <v>3</v>
      </c>
      <c r="G1798">
        <v>45</v>
      </c>
      <c r="H1798" t="b">
        <v>0</v>
      </c>
      <c r="I1798">
        <f t="shared" si="56"/>
        <v>0</v>
      </c>
      <c r="J1798" t="str">
        <f t="shared" si="57"/>
        <v>300-450 (Poor)</v>
      </c>
      <c r="K1798" s="1"/>
    </row>
    <row r="1799" spans="1:11" x14ac:dyDescent="0.35">
      <c r="A1799" t="s">
        <v>3295</v>
      </c>
      <c r="B1799" t="s">
        <v>3296</v>
      </c>
      <c r="C1799">
        <v>124493</v>
      </c>
      <c r="D1799">
        <v>370</v>
      </c>
      <c r="E1799">
        <v>5995</v>
      </c>
      <c r="F1799">
        <v>9</v>
      </c>
      <c r="G1799">
        <v>55</v>
      </c>
      <c r="H1799" t="b">
        <v>0</v>
      </c>
      <c r="I1799">
        <f t="shared" si="56"/>
        <v>0</v>
      </c>
      <c r="J1799" t="str">
        <f t="shared" si="57"/>
        <v>300-450 (Poor)</v>
      </c>
      <c r="K1799" s="1"/>
    </row>
    <row r="1800" spans="1:11" x14ac:dyDescent="0.35">
      <c r="A1800" t="s">
        <v>825</v>
      </c>
      <c r="B1800" t="s">
        <v>826</v>
      </c>
      <c r="C1800">
        <v>126434</v>
      </c>
      <c r="D1800">
        <v>823</v>
      </c>
      <c r="E1800">
        <v>5918</v>
      </c>
      <c r="F1800">
        <v>6</v>
      </c>
      <c r="G1800">
        <v>95</v>
      </c>
      <c r="H1800" t="b">
        <v>1</v>
      </c>
      <c r="I1800">
        <f t="shared" si="56"/>
        <v>1</v>
      </c>
      <c r="J1800" t="str">
        <f t="shared" si="57"/>
        <v>751-850 (Excellent)</v>
      </c>
      <c r="K1800" s="1"/>
    </row>
    <row r="1801" spans="1:11" x14ac:dyDescent="0.35">
      <c r="A1801" t="s">
        <v>3681</v>
      </c>
      <c r="B1801" t="s">
        <v>3682</v>
      </c>
      <c r="C1801">
        <v>116646</v>
      </c>
      <c r="D1801">
        <v>565</v>
      </c>
      <c r="E1801">
        <v>5911</v>
      </c>
      <c r="F1801">
        <v>9</v>
      </c>
      <c r="G1801">
        <v>55</v>
      </c>
      <c r="H1801" t="b">
        <v>0</v>
      </c>
      <c r="I1801">
        <f t="shared" si="56"/>
        <v>0</v>
      </c>
      <c r="J1801" t="str">
        <f t="shared" si="57"/>
        <v>451-600 (Fair)</v>
      </c>
      <c r="K1801" s="1"/>
    </row>
    <row r="1802" spans="1:11" x14ac:dyDescent="0.35">
      <c r="A1802" t="s">
        <v>3878</v>
      </c>
      <c r="B1802" t="s">
        <v>3879</v>
      </c>
      <c r="C1802">
        <v>70963</v>
      </c>
      <c r="D1802">
        <v>489</v>
      </c>
      <c r="E1802">
        <v>5890</v>
      </c>
      <c r="F1802">
        <v>6</v>
      </c>
      <c r="G1802">
        <v>45</v>
      </c>
      <c r="H1802" t="b">
        <v>0</v>
      </c>
      <c r="I1802">
        <f t="shared" si="56"/>
        <v>0</v>
      </c>
      <c r="J1802" t="str">
        <f t="shared" si="57"/>
        <v>451-600 (Fair)</v>
      </c>
      <c r="K1802" s="1"/>
    </row>
    <row r="1803" spans="1:11" x14ac:dyDescent="0.35">
      <c r="A1803" t="s">
        <v>564</v>
      </c>
      <c r="B1803" t="s">
        <v>565</v>
      </c>
      <c r="C1803">
        <v>82296</v>
      </c>
      <c r="D1803">
        <v>686</v>
      </c>
      <c r="E1803">
        <v>5847</v>
      </c>
      <c r="F1803">
        <v>28</v>
      </c>
      <c r="G1803">
        <v>80</v>
      </c>
      <c r="H1803" t="b">
        <v>1</v>
      </c>
      <c r="I1803">
        <f t="shared" si="56"/>
        <v>1</v>
      </c>
      <c r="J1803" t="str">
        <f t="shared" si="57"/>
        <v>601-750 (Good)</v>
      </c>
      <c r="K1803" s="1"/>
    </row>
    <row r="1804" spans="1:11" x14ac:dyDescent="0.35">
      <c r="A1804" t="s">
        <v>225</v>
      </c>
      <c r="B1804" t="s">
        <v>226</v>
      </c>
      <c r="C1804">
        <v>39358</v>
      </c>
      <c r="D1804">
        <v>461</v>
      </c>
      <c r="E1804">
        <v>5840</v>
      </c>
      <c r="F1804">
        <v>28</v>
      </c>
      <c r="G1804">
        <v>35</v>
      </c>
      <c r="H1804" t="b">
        <v>0</v>
      </c>
      <c r="I1804">
        <f t="shared" si="56"/>
        <v>0</v>
      </c>
      <c r="J1804" t="str">
        <f t="shared" si="57"/>
        <v>451-600 (Fair)</v>
      </c>
      <c r="K1804" s="1"/>
    </row>
    <row r="1805" spans="1:11" x14ac:dyDescent="0.35">
      <c r="A1805" t="s">
        <v>77</v>
      </c>
      <c r="B1805" t="s">
        <v>78</v>
      </c>
      <c r="C1805">
        <v>101426</v>
      </c>
      <c r="D1805">
        <v>402</v>
      </c>
      <c r="E1805">
        <v>5801</v>
      </c>
      <c r="F1805">
        <v>34</v>
      </c>
      <c r="G1805">
        <v>60</v>
      </c>
      <c r="H1805" t="b">
        <v>1</v>
      </c>
      <c r="I1805">
        <f t="shared" si="56"/>
        <v>1</v>
      </c>
      <c r="J1805" t="str">
        <f t="shared" si="57"/>
        <v>300-450 (Poor)</v>
      </c>
      <c r="K1805" s="1"/>
    </row>
    <row r="1806" spans="1:11" x14ac:dyDescent="0.35">
      <c r="A1806" t="s">
        <v>888</v>
      </c>
      <c r="B1806" t="s">
        <v>889</v>
      </c>
      <c r="C1806">
        <v>111183</v>
      </c>
      <c r="D1806">
        <v>666</v>
      </c>
      <c r="E1806">
        <v>5776</v>
      </c>
      <c r="F1806">
        <v>20</v>
      </c>
      <c r="G1806">
        <v>75</v>
      </c>
      <c r="H1806" t="b">
        <v>1</v>
      </c>
      <c r="I1806">
        <f t="shared" si="56"/>
        <v>1</v>
      </c>
      <c r="J1806" t="str">
        <f t="shared" si="57"/>
        <v>601-750 (Good)</v>
      </c>
      <c r="K1806" s="1"/>
    </row>
    <row r="1807" spans="1:11" x14ac:dyDescent="0.35">
      <c r="A1807" t="s">
        <v>498</v>
      </c>
      <c r="B1807" t="s">
        <v>499</v>
      </c>
      <c r="C1807">
        <v>61385</v>
      </c>
      <c r="D1807">
        <v>340</v>
      </c>
      <c r="E1807">
        <v>5769</v>
      </c>
      <c r="F1807">
        <v>12</v>
      </c>
      <c r="G1807">
        <v>50</v>
      </c>
      <c r="H1807" t="b">
        <v>0</v>
      </c>
      <c r="I1807">
        <f t="shared" si="56"/>
        <v>0</v>
      </c>
      <c r="J1807" t="str">
        <f t="shared" si="57"/>
        <v>300-450 (Poor)</v>
      </c>
      <c r="K1807" s="1"/>
    </row>
    <row r="1808" spans="1:11" x14ac:dyDescent="0.35">
      <c r="A1808" t="s">
        <v>3606</v>
      </c>
      <c r="B1808" t="s">
        <v>3607</v>
      </c>
      <c r="C1808">
        <v>57801</v>
      </c>
      <c r="D1808">
        <v>537</v>
      </c>
      <c r="E1808">
        <v>5767</v>
      </c>
      <c r="F1808">
        <v>15</v>
      </c>
      <c r="G1808">
        <v>50</v>
      </c>
      <c r="H1808" t="b">
        <v>0</v>
      </c>
      <c r="I1808">
        <f t="shared" si="56"/>
        <v>0</v>
      </c>
      <c r="J1808" t="str">
        <f t="shared" si="57"/>
        <v>451-600 (Fair)</v>
      </c>
      <c r="K1808" s="1"/>
    </row>
    <row r="1809" spans="1:11" x14ac:dyDescent="0.35">
      <c r="A1809" t="s">
        <v>1057</v>
      </c>
      <c r="B1809" t="s">
        <v>499</v>
      </c>
      <c r="C1809">
        <v>42097</v>
      </c>
      <c r="D1809">
        <v>701</v>
      </c>
      <c r="E1809">
        <v>5678</v>
      </c>
      <c r="F1809">
        <v>34</v>
      </c>
      <c r="G1809">
        <v>60</v>
      </c>
      <c r="H1809" t="b">
        <v>1</v>
      </c>
      <c r="I1809">
        <f t="shared" si="56"/>
        <v>1</v>
      </c>
      <c r="J1809" t="str">
        <f t="shared" si="57"/>
        <v>601-750 (Good)</v>
      </c>
      <c r="K1809" s="1"/>
    </row>
    <row r="1810" spans="1:11" x14ac:dyDescent="0.35">
      <c r="A1810" t="s">
        <v>2132</v>
      </c>
      <c r="B1810" t="s">
        <v>2133</v>
      </c>
      <c r="C1810">
        <v>94789</v>
      </c>
      <c r="D1810">
        <v>391</v>
      </c>
      <c r="E1810">
        <v>5661</v>
      </c>
      <c r="F1810">
        <v>11</v>
      </c>
      <c r="G1810">
        <v>55</v>
      </c>
      <c r="H1810" t="b">
        <v>0</v>
      </c>
      <c r="I1810">
        <f t="shared" si="56"/>
        <v>0</v>
      </c>
      <c r="J1810" t="str">
        <f t="shared" si="57"/>
        <v>300-450 (Poor)</v>
      </c>
      <c r="K1810" s="1"/>
    </row>
    <row r="1811" spans="1:11" x14ac:dyDescent="0.35">
      <c r="A1811" t="s">
        <v>1074</v>
      </c>
      <c r="B1811" t="s">
        <v>1075</v>
      </c>
      <c r="C1811">
        <v>47146</v>
      </c>
      <c r="D1811">
        <v>464</v>
      </c>
      <c r="E1811">
        <v>5513</v>
      </c>
      <c r="F1811">
        <v>33</v>
      </c>
      <c r="G1811">
        <v>35</v>
      </c>
      <c r="H1811" t="b">
        <v>0</v>
      </c>
      <c r="I1811">
        <f t="shared" si="56"/>
        <v>0</v>
      </c>
      <c r="J1811" t="str">
        <f t="shared" si="57"/>
        <v>451-600 (Fair)</v>
      </c>
      <c r="K1811" s="1"/>
    </row>
    <row r="1812" spans="1:11" x14ac:dyDescent="0.35">
      <c r="A1812" t="s">
        <v>1757</v>
      </c>
      <c r="B1812" t="s">
        <v>1758</v>
      </c>
      <c r="C1812">
        <v>69139</v>
      </c>
      <c r="D1812">
        <v>506</v>
      </c>
      <c r="E1812">
        <v>5482</v>
      </c>
      <c r="F1812">
        <v>21</v>
      </c>
      <c r="G1812">
        <v>50</v>
      </c>
      <c r="H1812" t="b">
        <v>0</v>
      </c>
      <c r="I1812">
        <f t="shared" si="56"/>
        <v>0</v>
      </c>
      <c r="J1812" t="str">
        <f t="shared" si="57"/>
        <v>451-600 (Fair)</v>
      </c>
      <c r="K1812" s="1"/>
    </row>
    <row r="1813" spans="1:11" x14ac:dyDescent="0.35">
      <c r="A1813" t="s">
        <v>1849</v>
      </c>
      <c r="B1813" t="s">
        <v>1850</v>
      </c>
      <c r="C1813">
        <v>53819</v>
      </c>
      <c r="D1813">
        <v>344</v>
      </c>
      <c r="E1813">
        <v>5412</v>
      </c>
      <c r="F1813">
        <v>13</v>
      </c>
      <c r="G1813">
        <v>45</v>
      </c>
      <c r="H1813" t="b">
        <v>0</v>
      </c>
      <c r="I1813">
        <f t="shared" si="56"/>
        <v>0</v>
      </c>
      <c r="J1813" t="str">
        <f t="shared" si="57"/>
        <v>300-450 (Poor)</v>
      </c>
      <c r="K1813" s="1"/>
    </row>
    <row r="1814" spans="1:11" x14ac:dyDescent="0.35">
      <c r="A1814" t="s">
        <v>2678</v>
      </c>
      <c r="B1814" t="s">
        <v>2679</v>
      </c>
      <c r="C1814">
        <v>120921</v>
      </c>
      <c r="D1814">
        <v>819</v>
      </c>
      <c r="E1814">
        <v>5403</v>
      </c>
      <c r="F1814">
        <v>17</v>
      </c>
      <c r="G1814">
        <v>100</v>
      </c>
      <c r="H1814" t="b">
        <v>1</v>
      </c>
      <c r="I1814">
        <f t="shared" si="56"/>
        <v>1</v>
      </c>
      <c r="J1814" t="str">
        <f t="shared" si="57"/>
        <v>751-850 (Excellent)</v>
      </c>
      <c r="K1814" s="1"/>
    </row>
    <row r="1815" spans="1:11" x14ac:dyDescent="0.35">
      <c r="A1815" t="s">
        <v>2313</v>
      </c>
      <c r="B1815" t="s">
        <v>2314</v>
      </c>
      <c r="C1815">
        <v>46591</v>
      </c>
      <c r="D1815">
        <v>417</v>
      </c>
      <c r="E1815">
        <v>5400</v>
      </c>
      <c r="F1815">
        <v>0</v>
      </c>
      <c r="G1815">
        <v>20</v>
      </c>
      <c r="H1815" t="b">
        <v>0</v>
      </c>
      <c r="I1815">
        <f t="shared" si="56"/>
        <v>0</v>
      </c>
      <c r="J1815" t="str">
        <f t="shared" si="57"/>
        <v>300-450 (Poor)</v>
      </c>
      <c r="K1815" s="1"/>
    </row>
    <row r="1816" spans="1:11" x14ac:dyDescent="0.35">
      <c r="A1816" t="s">
        <v>1539</v>
      </c>
      <c r="B1816" t="s">
        <v>1540</v>
      </c>
      <c r="C1816">
        <v>121272</v>
      </c>
      <c r="D1816">
        <v>818</v>
      </c>
      <c r="E1816">
        <v>5349</v>
      </c>
      <c r="F1816">
        <v>22</v>
      </c>
      <c r="G1816">
        <v>100</v>
      </c>
      <c r="H1816" t="b">
        <v>1</v>
      </c>
      <c r="I1816">
        <f t="shared" si="56"/>
        <v>1</v>
      </c>
      <c r="J1816" t="str">
        <f t="shared" si="57"/>
        <v>751-850 (Excellent)</v>
      </c>
      <c r="K1816" s="1"/>
    </row>
    <row r="1817" spans="1:11" x14ac:dyDescent="0.35">
      <c r="A1817" t="s">
        <v>1449</v>
      </c>
      <c r="B1817" t="s">
        <v>1450</v>
      </c>
      <c r="C1817">
        <v>90946</v>
      </c>
      <c r="D1817">
        <v>344</v>
      </c>
      <c r="E1817">
        <v>5341</v>
      </c>
      <c r="F1817">
        <v>19</v>
      </c>
      <c r="G1817">
        <v>55</v>
      </c>
      <c r="H1817" t="b">
        <v>0</v>
      </c>
      <c r="I1817">
        <f t="shared" si="56"/>
        <v>0</v>
      </c>
      <c r="J1817" t="str">
        <f t="shared" si="57"/>
        <v>300-450 (Poor)</v>
      </c>
      <c r="K1817" s="1"/>
    </row>
    <row r="1818" spans="1:11" x14ac:dyDescent="0.35">
      <c r="A1818" t="s">
        <v>1206</v>
      </c>
      <c r="B1818" t="s">
        <v>1207</v>
      </c>
      <c r="C1818">
        <v>64970</v>
      </c>
      <c r="D1818">
        <v>662</v>
      </c>
      <c r="E1818">
        <v>5339</v>
      </c>
      <c r="F1818">
        <v>9</v>
      </c>
      <c r="G1818">
        <v>60</v>
      </c>
      <c r="H1818" t="b">
        <v>1</v>
      </c>
      <c r="I1818">
        <f t="shared" si="56"/>
        <v>1</v>
      </c>
      <c r="J1818" t="str">
        <f t="shared" si="57"/>
        <v>601-750 (Good)</v>
      </c>
      <c r="K1818" s="1"/>
    </row>
    <row r="1819" spans="1:11" x14ac:dyDescent="0.35">
      <c r="A1819" t="s">
        <v>3230</v>
      </c>
      <c r="B1819" t="s">
        <v>3231</v>
      </c>
      <c r="C1819">
        <v>68696</v>
      </c>
      <c r="D1819">
        <v>794</v>
      </c>
      <c r="E1819">
        <v>5331</v>
      </c>
      <c r="F1819">
        <v>14</v>
      </c>
      <c r="G1819">
        <v>85</v>
      </c>
      <c r="H1819" t="b">
        <v>1</v>
      </c>
      <c r="I1819">
        <f t="shared" si="56"/>
        <v>1</v>
      </c>
      <c r="J1819" t="str">
        <f t="shared" si="57"/>
        <v>751-850 (Excellent)</v>
      </c>
      <c r="K1819" s="1"/>
    </row>
    <row r="1820" spans="1:11" x14ac:dyDescent="0.35">
      <c r="A1820" t="s">
        <v>765</v>
      </c>
      <c r="B1820" t="s">
        <v>766</v>
      </c>
      <c r="C1820">
        <v>93653</v>
      </c>
      <c r="D1820">
        <v>462</v>
      </c>
      <c r="E1820">
        <v>5300</v>
      </c>
      <c r="F1820">
        <v>19</v>
      </c>
      <c r="G1820">
        <v>55</v>
      </c>
      <c r="H1820" t="b">
        <v>0</v>
      </c>
      <c r="I1820">
        <f t="shared" si="56"/>
        <v>0</v>
      </c>
      <c r="J1820" t="str">
        <f t="shared" si="57"/>
        <v>451-600 (Fair)</v>
      </c>
      <c r="K1820" s="1"/>
    </row>
    <row r="1821" spans="1:11" x14ac:dyDescent="0.35">
      <c r="A1821" t="s">
        <v>689</v>
      </c>
      <c r="B1821" t="s">
        <v>690</v>
      </c>
      <c r="C1821">
        <v>114696</v>
      </c>
      <c r="D1821">
        <v>322</v>
      </c>
      <c r="E1821">
        <v>5225</v>
      </c>
      <c r="F1821">
        <v>12</v>
      </c>
      <c r="G1821">
        <v>60</v>
      </c>
      <c r="H1821" t="b">
        <v>1</v>
      </c>
      <c r="I1821">
        <f t="shared" si="56"/>
        <v>1</v>
      </c>
      <c r="J1821" t="str">
        <f t="shared" si="57"/>
        <v>300-450 (Poor)</v>
      </c>
      <c r="K1821" s="1"/>
    </row>
    <row r="1822" spans="1:11" x14ac:dyDescent="0.35">
      <c r="A1822" t="s">
        <v>1511</v>
      </c>
      <c r="B1822" t="s">
        <v>1512</v>
      </c>
      <c r="C1822">
        <v>36057</v>
      </c>
      <c r="D1822">
        <v>626</v>
      </c>
      <c r="E1822">
        <v>5222</v>
      </c>
      <c r="F1822">
        <v>40</v>
      </c>
      <c r="G1822">
        <v>50</v>
      </c>
      <c r="H1822" t="b">
        <v>0</v>
      </c>
      <c r="I1822">
        <f t="shared" si="56"/>
        <v>0</v>
      </c>
      <c r="J1822" t="str">
        <f t="shared" si="57"/>
        <v>601-750 (Good)</v>
      </c>
      <c r="K1822" s="1"/>
    </row>
    <row r="1823" spans="1:11" x14ac:dyDescent="0.35">
      <c r="A1823" t="s">
        <v>1903</v>
      </c>
      <c r="B1823" t="s">
        <v>1904</v>
      </c>
      <c r="C1823">
        <v>132397</v>
      </c>
      <c r="D1823">
        <v>583</v>
      </c>
      <c r="E1823">
        <v>5211</v>
      </c>
      <c r="F1823">
        <v>21</v>
      </c>
      <c r="G1823">
        <v>75</v>
      </c>
      <c r="H1823" t="b">
        <v>1</v>
      </c>
      <c r="I1823">
        <f t="shared" si="56"/>
        <v>1</v>
      </c>
      <c r="J1823" t="str">
        <f t="shared" si="57"/>
        <v>451-600 (Fair)</v>
      </c>
      <c r="K1823" s="1"/>
    </row>
    <row r="1824" spans="1:11" x14ac:dyDescent="0.35">
      <c r="A1824" t="s">
        <v>781</v>
      </c>
      <c r="B1824" t="s">
        <v>782</v>
      </c>
      <c r="C1824">
        <v>79672</v>
      </c>
      <c r="D1824">
        <v>793</v>
      </c>
      <c r="E1824">
        <v>5183</v>
      </c>
      <c r="F1824">
        <v>21</v>
      </c>
      <c r="G1824">
        <v>90</v>
      </c>
      <c r="H1824" t="b">
        <v>1</v>
      </c>
      <c r="I1824">
        <f t="shared" si="56"/>
        <v>1</v>
      </c>
      <c r="J1824" t="str">
        <f t="shared" si="57"/>
        <v>751-850 (Excellent)</v>
      </c>
      <c r="K1824" s="1"/>
    </row>
    <row r="1825" spans="1:11" x14ac:dyDescent="0.35">
      <c r="A1825" t="s">
        <v>2621</v>
      </c>
      <c r="B1825" t="s">
        <v>2622</v>
      </c>
      <c r="C1825">
        <v>65325</v>
      </c>
      <c r="D1825">
        <v>526</v>
      </c>
      <c r="E1825">
        <v>5176</v>
      </c>
      <c r="F1825">
        <v>39</v>
      </c>
      <c r="G1825">
        <v>50</v>
      </c>
      <c r="H1825" t="b">
        <v>0</v>
      </c>
      <c r="I1825">
        <f t="shared" si="56"/>
        <v>0</v>
      </c>
      <c r="J1825" t="str">
        <f t="shared" si="57"/>
        <v>451-600 (Fair)</v>
      </c>
      <c r="K1825" s="1"/>
    </row>
    <row r="1826" spans="1:11" x14ac:dyDescent="0.35">
      <c r="A1826" t="s">
        <v>1807</v>
      </c>
      <c r="B1826" t="s">
        <v>1808</v>
      </c>
      <c r="C1826">
        <v>82994</v>
      </c>
      <c r="D1826">
        <v>700</v>
      </c>
      <c r="E1826">
        <v>5175</v>
      </c>
      <c r="F1826">
        <v>34</v>
      </c>
      <c r="G1826">
        <v>80</v>
      </c>
      <c r="H1826" t="b">
        <v>1</v>
      </c>
      <c r="I1826">
        <f t="shared" si="56"/>
        <v>1</v>
      </c>
      <c r="J1826" t="str">
        <f t="shared" si="57"/>
        <v>601-750 (Good)</v>
      </c>
      <c r="K1826" s="1"/>
    </row>
    <row r="1827" spans="1:11" x14ac:dyDescent="0.35">
      <c r="A1827" t="s">
        <v>3629</v>
      </c>
      <c r="B1827" t="s">
        <v>3630</v>
      </c>
      <c r="C1827">
        <v>56896</v>
      </c>
      <c r="D1827">
        <v>479</v>
      </c>
      <c r="E1827">
        <v>5149</v>
      </c>
      <c r="F1827">
        <v>29</v>
      </c>
      <c r="G1827">
        <v>50</v>
      </c>
      <c r="H1827" t="b">
        <v>0</v>
      </c>
      <c r="I1827">
        <f t="shared" si="56"/>
        <v>0</v>
      </c>
      <c r="J1827" t="str">
        <f t="shared" si="57"/>
        <v>451-600 (Fair)</v>
      </c>
      <c r="K1827" s="1"/>
    </row>
    <row r="1828" spans="1:11" x14ac:dyDescent="0.35">
      <c r="A1828" t="s">
        <v>3068</v>
      </c>
      <c r="B1828" t="s">
        <v>2064</v>
      </c>
      <c r="C1828">
        <v>127880</v>
      </c>
      <c r="D1828">
        <v>791</v>
      </c>
      <c r="E1828">
        <v>5147</v>
      </c>
      <c r="F1828">
        <v>9</v>
      </c>
      <c r="G1828">
        <v>90</v>
      </c>
      <c r="H1828" t="b">
        <v>1</v>
      </c>
      <c r="I1828">
        <f t="shared" si="56"/>
        <v>1</v>
      </c>
      <c r="J1828" t="str">
        <f t="shared" si="57"/>
        <v>751-850 (Excellent)</v>
      </c>
      <c r="K1828" s="1"/>
    </row>
    <row r="1829" spans="1:11" x14ac:dyDescent="0.35">
      <c r="A1829" t="s">
        <v>1735</v>
      </c>
      <c r="B1829" t="s">
        <v>1736</v>
      </c>
      <c r="C1829">
        <v>106556</v>
      </c>
      <c r="D1829">
        <v>618</v>
      </c>
      <c r="E1829">
        <v>5118</v>
      </c>
      <c r="F1829">
        <v>40</v>
      </c>
      <c r="G1829">
        <v>75</v>
      </c>
      <c r="H1829" t="b">
        <v>1</v>
      </c>
      <c r="I1829">
        <f t="shared" si="56"/>
        <v>1</v>
      </c>
      <c r="J1829" t="str">
        <f t="shared" si="57"/>
        <v>601-750 (Good)</v>
      </c>
      <c r="K1829" s="1"/>
    </row>
    <row r="1830" spans="1:11" x14ac:dyDescent="0.35">
      <c r="A1830" t="s">
        <v>345</v>
      </c>
      <c r="B1830" t="s">
        <v>346</v>
      </c>
      <c r="C1830">
        <v>96784</v>
      </c>
      <c r="D1830">
        <v>768</v>
      </c>
      <c r="E1830">
        <v>5116</v>
      </c>
      <c r="F1830">
        <v>7</v>
      </c>
      <c r="G1830">
        <v>85</v>
      </c>
      <c r="H1830" t="b">
        <v>1</v>
      </c>
      <c r="I1830">
        <f t="shared" si="56"/>
        <v>1</v>
      </c>
      <c r="J1830" t="str">
        <f t="shared" si="57"/>
        <v>751-850 (Excellent)</v>
      </c>
      <c r="K1830" s="1"/>
    </row>
    <row r="1831" spans="1:11" x14ac:dyDescent="0.35">
      <c r="A1831" t="s">
        <v>466</v>
      </c>
      <c r="B1831" t="s">
        <v>467</v>
      </c>
      <c r="C1831">
        <v>129943</v>
      </c>
      <c r="D1831">
        <v>414</v>
      </c>
      <c r="E1831">
        <v>5047</v>
      </c>
      <c r="F1831">
        <v>35</v>
      </c>
      <c r="G1831">
        <v>60</v>
      </c>
      <c r="H1831" t="b">
        <v>1</v>
      </c>
      <c r="I1831">
        <f t="shared" si="56"/>
        <v>1</v>
      </c>
      <c r="J1831" t="str">
        <f t="shared" si="57"/>
        <v>300-450 (Poor)</v>
      </c>
      <c r="K1831" s="1"/>
    </row>
    <row r="1832" spans="1:11" x14ac:dyDescent="0.35">
      <c r="A1832" t="s">
        <v>687</v>
      </c>
      <c r="B1832" t="s">
        <v>688</v>
      </c>
      <c r="C1832">
        <v>115649</v>
      </c>
      <c r="D1832">
        <v>312</v>
      </c>
      <c r="E1832">
        <v>5041</v>
      </c>
      <c r="F1832">
        <v>14</v>
      </c>
      <c r="G1832">
        <v>60</v>
      </c>
      <c r="H1832" t="b">
        <v>1</v>
      </c>
      <c r="I1832">
        <f t="shared" si="56"/>
        <v>1</v>
      </c>
      <c r="J1832" t="str">
        <f t="shared" si="57"/>
        <v>300-450 (Poor)</v>
      </c>
      <c r="K1832" s="1"/>
    </row>
    <row r="1833" spans="1:11" x14ac:dyDescent="0.35">
      <c r="A1833" t="s">
        <v>2031</v>
      </c>
      <c r="B1833" t="s">
        <v>2032</v>
      </c>
      <c r="C1833">
        <v>78571</v>
      </c>
      <c r="D1833">
        <v>790</v>
      </c>
      <c r="E1833">
        <v>5020</v>
      </c>
      <c r="F1833">
        <v>32</v>
      </c>
      <c r="G1833">
        <v>90</v>
      </c>
      <c r="H1833" t="b">
        <v>1</v>
      </c>
      <c r="I1833">
        <f t="shared" si="56"/>
        <v>1</v>
      </c>
      <c r="J1833" t="str">
        <f t="shared" si="57"/>
        <v>751-850 (Excellent)</v>
      </c>
      <c r="K1833" s="1"/>
    </row>
    <row r="1834" spans="1:11" x14ac:dyDescent="0.35">
      <c r="A1834" t="s">
        <v>2754</v>
      </c>
      <c r="B1834" t="s">
        <v>2755</v>
      </c>
      <c r="C1834">
        <v>47172</v>
      </c>
      <c r="D1834">
        <v>339</v>
      </c>
      <c r="E1834">
        <v>5009</v>
      </c>
      <c r="F1834">
        <v>38</v>
      </c>
      <c r="G1834">
        <v>35</v>
      </c>
      <c r="H1834" t="b">
        <v>0</v>
      </c>
      <c r="I1834">
        <f t="shared" si="56"/>
        <v>0</v>
      </c>
      <c r="J1834" t="str">
        <f t="shared" si="57"/>
        <v>300-450 (Poor)</v>
      </c>
      <c r="K1834" s="1"/>
    </row>
    <row r="1835" spans="1:11" x14ac:dyDescent="0.35">
      <c r="A1835" t="s">
        <v>59</v>
      </c>
      <c r="B1835" t="s">
        <v>60</v>
      </c>
      <c r="C1835">
        <v>60495</v>
      </c>
      <c r="D1835">
        <v>400</v>
      </c>
      <c r="E1835">
        <v>4972</v>
      </c>
      <c r="F1835">
        <v>25</v>
      </c>
      <c r="G1835">
        <v>50</v>
      </c>
      <c r="H1835" t="b">
        <v>0</v>
      </c>
      <c r="I1835">
        <f t="shared" si="56"/>
        <v>0</v>
      </c>
      <c r="J1835" t="str">
        <f t="shared" si="57"/>
        <v>300-450 (Poor)</v>
      </c>
      <c r="K1835" s="1"/>
    </row>
    <row r="1836" spans="1:11" x14ac:dyDescent="0.35">
      <c r="A1836" t="s">
        <v>251</v>
      </c>
      <c r="B1836" t="s">
        <v>252</v>
      </c>
      <c r="C1836">
        <v>103000</v>
      </c>
      <c r="D1836">
        <v>667</v>
      </c>
      <c r="E1836">
        <v>4968</v>
      </c>
      <c r="F1836">
        <v>25</v>
      </c>
      <c r="G1836">
        <v>75</v>
      </c>
      <c r="H1836" t="b">
        <v>1</v>
      </c>
      <c r="I1836">
        <f t="shared" si="56"/>
        <v>1</v>
      </c>
      <c r="J1836" t="str">
        <f t="shared" si="57"/>
        <v>601-750 (Good)</v>
      </c>
      <c r="K1836" s="1"/>
    </row>
    <row r="1837" spans="1:11" x14ac:dyDescent="0.35">
      <c r="A1837" t="s">
        <v>1751</v>
      </c>
      <c r="B1837" t="s">
        <v>1752</v>
      </c>
      <c r="C1837">
        <v>92518</v>
      </c>
      <c r="D1837">
        <v>345</v>
      </c>
      <c r="E1837">
        <v>4964</v>
      </c>
      <c r="F1837">
        <v>8</v>
      </c>
      <c r="G1837">
        <v>50</v>
      </c>
      <c r="H1837" t="b">
        <v>0</v>
      </c>
      <c r="I1837">
        <f t="shared" si="56"/>
        <v>0</v>
      </c>
      <c r="J1837" t="str">
        <f t="shared" si="57"/>
        <v>300-450 (Poor)</v>
      </c>
      <c r="K1837" s="1"/>
    </row>
    <row r="1838" spans="1:11" x14ac:dyDescent="0.35">
      <c r="A1838" t="s">
        <v>2354</v>
      </c>
      <c r="B1838" t="s">
        <v>2355</v>
      </c>
      <c r="C1838">
        <v>36734</v>
      </c>
      <c r="D1838">
        <v>642</v>
      </c>
      <c r="E1838">
        <v>4892</v>
      </c>
      <c r="F1838">
        <v>8</v>
      </c>
      <c r="G1838">
        <v>45</v>
      </c>
      <c r="H1838" t="b">
        <v>0</v>
      </c>
      <c r="I1838">
        <f t="shared" si="56"/>
        <v>0</v>
      </c>
      <c r="J1838" t="str">
        <f t="shared" si="57"/>
        <v>601-750 (Good)</v>
      </c>
      <c r="K1838" s="1"/>
    </row>
    <row r="1839" spans="1:11" x14ac:dyDescent="0.35">
      <c r="A1839" t="s">
        <v>2714</v>
      </c>
      <c r="B1839" t="s">
        <v>2715</v>
      </c>
      <c r="C1839">
        <v>138124</v>
      </c>
      <c r="D1839">
        <v>684</v>
      </c>
      <c r="E1839">
        <v>4887</v>
      </c>
      <c r="F1839">
        <v>6</v>
      </c>
      <c r="G1839">
        <v>80</v>
      </c>
      <c r="H1839" t="b">
        <v>1</v>
      </c>
      <c r="I1839">
        <f t="shared" si="56"/>
        <v>1</v>
      </c>
      <c r="J1839" t="str">
        <f t="shared" si="57"/>
        <v>601-750 (Good)</v>
      </c>
      <c r="K1839" s="1"/>
    </row>
    <row r="1840" spans="1:11" x14ac:dyDescent="0.35">
      <c r="A1840" t="s">
        <v>701</v>
      </c>
      <c r="B1840" t="s">
        <v>702</v>
      </c>
      <c r="C1840">
        <v>134935</v>
      </c>
      <c r="D1840">
        <v>587</v>
      </c>
      <c r="E1840">
        <v>4839</v>
      </c>
      <c r="F1840">
        <v>30</v>
      </c>
      <c r="G1840">
        <v>75</v>
      </c>
      <c r="H1840" t="b">
        <v>1</v>
      </c>
      <c r="I1840">
        <f t="shared" si="56"/>
        <v>1</v>
      </c>
      <c r="J1840" t="str">
        <f t="shared" si="57"/>
        <v>451-600 (Fair)</v>
      </c>
      <c r="K1840" s="1"/>
    </row>
    <row r="1841" spans="1:11" x14ac:dyDescent="0.35">
      <c r="A1841" t="s">
        <v>783</v>
      </c>
      <c r="B1841" t="s">
        <v>784</v>
      </c>
      <c r="C1841">
        <v>30282</v>
      </c>
      <c r="D1841">
        <v>546</v>
      </c>
      <c r="E1841">
        <v>4720</v>
      </c>
      <c r="F1841">
        <v>38</v>
      </c>
      <c r="G1841">
        <v>35</v>
      </c>
      <c r="H1841" t="b">
        <v>0</v>
      </c>
      <c r="I1841">
        <f t="shared" si="56"/>
        <v>0</v>
      </c>
      <c r="J1841" t="str">
        <f t="shared" si="57"/>
        <v>451-600 (Fair)</v>
      </c>
      <c r="K1841" s="1"/>
    </row>
    <row r="1842" spans="1:11" x14ac:dyDescent="0.35">
      <c r="A1842" t="s">
        <v>2918</v>
      </c>
      <c r="B1842" t="s">
        <v>2919</v>
      </c>
      <c r="C1842">
        <v>54727</v>
      </c>
      <c r="D1842">
        <v>625</v>
      </c>
      <c r="E1842">
        <v>4716</v>
      </c>
      <c r="F1842">
        <v>7</v>
      </c>
      <c r="G1842">
        <v>60</v>
      </c>
      <c r="H1842" t="b">
        <v>1</v>
      </c>
      <c r="I1842">
        <f t="shared" si="56"/>
        <v>1</v>
      </c>
      <c r="J1842" t="str">
        <f t="shared" si="57"/>
        <v>601-750 (Good)</v>
      </c>
      <c r="K1842" s="1"/>
    </row>
    <row r="1843" spans="1:11" x14ac:dyDescent="0.35">
      <c r="A1843" t="s">
        <v>2808</v>
      </c>
      <c r="B1843" t="s">
        <v>2809</v>
      </c>
      <c r="C1843">
        <v>50181</v>
      </c>
      <c r="D1843">
        <v>731</v>
      </c>
      <c r="E1843">
        <v>4712</v>
      </c>
      <c r="F1843">
        <v>40</v>
      </c>
      <c r="G1843">
        <v>75</v>
      </c>
      <c r="H1843" t="b">
        <v>1</v>
      </c>
      <c r="I1843">
        <f t="shared" si="56"/>
        <v>1</v>
      </c>
      <c r="J1843" t="str">
        <f t="shared" si="57"/>
        <v>601-750 (Good)</v>
      </c>
      <c r="K1843" s="1"/>
    </row>
    <row r="1844" spans="1:11" x14ac:dyDescent="0.35">
      <c r="A1844" t="s">
        <v>486</v>
      </c>
      <c r="B1844" t="s">
        <v>487</v>
      </c>
      <c r="C1844">
        <v>44662</v>
      </c>
      <c r="D1844">
        <v>522</v>
      </c>
      <c r="E1844">
        <v>4699</v>
      </c>
      <c r="F1844">
        <v>8</v>
      </c>
      <c r="G1844">
        <v>30</v>
      </c>
      <c r="H1844" t="b">
        <v>0</v>
      </c>
      <c r="I1844">
        <f t="shared" si="56"/>
        <v>0</v>
      </c>
      <c r="J1844" t="str">
        <f t="shared" si="57"/>
        <v>451-600 (Fair)</v>
      </c>
      <c r="K1844" s="1"/>
    </row>
    <row r="1845" spans="1:11" x14ac:dyDescent="0.35">
      <c r="A1845" t="s">
        <v>2976</v>
      </c>
      <c r="B1845" t="s">
        <v>2977</v>
      </c>
      <c r="C1845">
        <v>43154</v>
      </c>
      <c r="D1845">
        <v>424</v>
      </c>
      <c r="E1845">
        <v>4680</v>
      </c>
      <c r="F1845">
        <v>8</v>
      </c>
      <c r="G1845">
        <v>30</v>
      </c>
      <c r="H1845" t="b">
        <v>0</v>
      </c>
      <c r="I1845">
        <f t="shared" si="56"/>
        <v>0</v>
      </c>
      <c r="J1845" t="str">
        <f t="shared" si="57"/>
        <v>300-450 (Poor)</v>
      </c>
      <c r="K1845" s="1"/>
    </row>
    <row r="1846" spans="1:11" x14ac:dyDescent="0.35">
      <c r="A1846" t="s">
        <v>1314</v>
      </c>
      <c r="B1846" t="s">
        <v>1315</v>
      </c>
      <c r="C1846">
        <v>109457</v>
      </c>
      <c r="D1846">
        <v>710</v>
      </c>
      <c r="E1846">
        <v>4617</v>
      </c>
      <c r="F1846">
        <v>40</v>
      </c>
      <c r="G1846">
        <v>85</v>
      </c>
      <c r="H1846" t="b">
        <v>1</v>
      </c>
      <c r="I1846">
        <f t="shared" si="56"/>
        <v>1</v>
      </c>
      <c r="J1846" t="str">
        <f t="shared" si="57"/>
        <v>601-750 (Good)</v>
      </c>
      <c r="K1846" s="1"/>
    </row>
    <row r="1847" spans="1:11" x14ac:dyDescent="0.35">
      <c r="A1847" t="s">
        <v>3507</v>
      </c>
      <c r="B1847" t="s">
        <v>3508</v>
      </c>
      <c r="C1847">
        <v>60775</v>
      </c>
      <c r="D1847">
        <v>364</v>
      </c>
      <c r="E1847">
        <v>4614</v>
      </c>
      <c r="F1847">
        <v>7</v>
      </c>
      <c r="G1847">
        <v>45</v>
      </c>
      <c r="H1847" t="b">
        <v>0</v>
      </c>
      <c r="I1847">
        <f t="shared" si="56"/>
        <v>0</v>
      </c>
      <c r="J1847" t="str">
        <f t="shared" si="57"/>
        <v>300-450 (Poor)</v>
      </c>
      <c r="K1847" s="1"/>
    </row>
    <row r="1848" spans="1:11" x14ac:dyDescent="0.35">
      <c r="A1848" t="s">
        <v>2596</v>
      </c>
      <c r="B1848" t="s">
        <v>2597</v>
      </c>
      <c r="C1848">
        <v>62816</v>
      </c>
      <c r="D1848">
        <v>732</v>
      </c>
      <c r="E1848">
        <v>4572</v>
      </c>
      <c r="F1848">
        <v>19</v>
      </c>
      <c r="G1848">
        <v>75</v>
      </c>
      <c r="H1848" t="b">
        <v>1</v>
      </c>
      <c r="I1848">
        <f t="shared" si="56"/>
        <v>1</v>
      </c>
      <c r="J1848" t="str">
        <f t="shared" si="57"/>
        <v>601-750 (Good)</v>
      </c>
      <c r="K1848" s="1"/>
    </row>
    <row r="1849" spans="1:11" x14ac:dyDescent="0.35">
      <c r="A1849" t="s">
        <v>3511</v>
      </c>
      <c r="B1849" t="s">
        <v>3512</v>
      </c>
      <c r="C1849">
        <v>100457</v>
      </c>
      <c r="D1849">
        <v>629</v>
      </c>
      <c r="E1849">
        <v>4560</v>
      </c>
      <c r="F1849">
        <v>29</v>
      </c>
      <c r="G1849">
        <v>75</v>
      </c>
      <c r="H1849" t="b">
        <v>1</v>
      </c>
      <c r="I1849">
        <f t="shared" si="56"/>
        <v>1</v>
      </c>
      <c r="J1849" t="str">
        <f t="shared" si="57"/>
        <v>601-750 (Good)</v>
      </c>
      <c r="K1849" s="1"/>
    </row>
    <row r="1850" spans="1:11" x14ac:dyDescent="0.35">
      <c r="A1850" t="s">
        <v>1346</v>
      </c>
      <c r="B1850" t="s">
        <v>1347</v>
      </c>
      <c r="C1850">
        <v>124297</v>
      </c>
      <c r="D1850">
        <v>344</v>
      </c>
      <c r="E1850">
        <v>4540</v>
      </c>
      <c r="F1850">
        <v>23</v>
      </c>
      <c r="G1850">
        <v>60</v>
      </c>
      <c r="H1850" t="b">
        <v>1</v>
      </c>
      <c r="I1850">
        <f t="shared" si="56"/>
        <v>1</v>
      </c>
      <c r="J1850" t="str">
        <f t="shared" si="57"/>
        <v>300-450 (Poor)</v>
      </c>
      <c r="K1850" s="1"/>
    </row>
    <row r="1851" spans="1:11" x14ac:dyDescent="0.35">
      <c r="A1851" t="s">
        <v>3806</v>
      </c>
      <c r="B1851" t="s">
        <v>3807</v>
      </c>
      <c r="C1851">
        <v>101874</v>
      </c>
      <c r="D1851">
        <v>468</v>
      </c>
      <c r="E1851">
        <v>4504</v>
      </c>
      <c r="F1851">
        <v>13</v>
      </c>
      <c r="G1851">
        <v>60</v>
      </c>
      <c r="H1851" t="b">
        <v>1</v>
      </c>
      <c r="I1851">
        <f t="shared" si="56"/>
        <v>1</v>
      </c>
      <c r="J1851" t="str">
        <f t="shared" si="57"/>
        <v>451-600 (Fair)</v>
      </c>
      <c r="K1851" s="1"/>
    </row>
    <row r="1852" spans="1:11" x14ac:dyDescent="0.35">
      <c r="A1852" t="s">
        <v>1571</v>
      </c>
      <c r="B1852" t="s">
        <v>1572</v>
      </c>
      <c r="C1852">
        <v>58683</v>
      </c>
      <c r="D1852">
        <v>750</v>
      </c>
      <c r="E1852">
        <v>4487</v>
      </c>
      <c r="F1852">
        <v>12</v>
      </c>
      <c r="G1852">
        <v>85</v>
      </c>
      <c r="H1852" t="b">
        <v>1</v>
      </c>
      <c r="I1852">
        <f t="shared" si="56"/>
        <v>1</v>
      </c>
      <c r="J1852" t="str">
        <f t="shared" si="57"/>
        <v>601-750 (Good)</v>
      </c>
      <c r="K1852" s="1"/>
    </row>
    <row r="1853" spans="1:11" x14ac:dyDescent="0.35">
      <c r="A1853" t="s">
        <v>3395</v>
      </c>
      <c r="B1853" t="s">
        <v>3396</v>
      </c>
      <c r="C1853">
        <v>48449</v>
      </c>
      <c r="D1853">
        <v>438</v>
      </c>
      <c r="E1853">
        <v>4462</v>
      </c>
      <c r="F1853">
        <v>33</v>
      </c>
      <c r="G1853">
        <v>40</v>
      </c>
      <c r="H1853" t="b">
        <v>0</v>
      </c>
      <c r="I1853">
        <f t="shared" si="56"/>
        <v>0</v>
      </c>
      <c r="J1853" t="str">
        <f t="shared" si="57"/>
        <v>300-450 (Poor)</v>
      </c>
      <c r="K1853" s="1"/>
    </row>
    <row r="1854" spans="1:11" x14ac:dyDescent="0.35">
      <c r="A1854" t="s">
        <v>1285</v>
      </c>
      <c r="B1854" t="s">
        <v>1286</v>
      </c>
      <c r="C1854">
        <v>45118</v>
      </c>
      <c r="D1854">
        <v>418</v>
      </c>
      <c r="E1854">
        <v>4442</v>
      </c>
      <c r="F1854">
        <v>10</v>
      </c>
      <c r="G1854">
        <v>40</v>
      </c>
      <c r="H1854" t="b">
        <v>0</v>
      </c>
      <c r="I1854">
        <f t="shared" si="56"/>
        <v>0</v>
      </c>
      <c r="J1854" t="str">
        <f t="shared" si="57"/>
        <v>300-450 (Poor)</v>
      </c>
      <c r="K1854" s="1"/>
    </row>
    <row r="1855" spans="1:11" x14ac:dyDescent="0.35">
      <c r="A1855" t="s">
        <v>3041</v>
      </c>
      <c r="B1855" t="s">
        <v>3042</v>
      </c>
      <c r="C1855">
        <v>124203</v>
      </c>
      <c r="D1855">
        <v>324</v>
      </c>
      <c r="E1855">
        <v>4439</v>
      </c>
      <c r="F1855">
        <v>14</v>
      </c>
      <c r="G1855">
        <v>60</v>
      </c>
      <c r="H1855" t="b">
        <v>1</v>
      </c>
      <c r="I1855">
        <f t="shared" si="56"/>
        <v>1</v>
      </c>
      <c r="J1855" t="str">
        <f t="shared" si="57"/>
        <v>300-450 (Poor)</v>
      </c>
      <c r="K1855" s="1"/>
    </row>
    <row r="1856" spans="1:11" x14ac:dyDescent="0.35">
      <c r="A1856" t="s">
        <v>2362</v>
      </c>
      <c r="B1856" t="s">
        <v>2363</v>
      </c>
      <c r="C1856">
        <v>44953</v>
      </c>
      <c r="D1856">
        <v>793</v>
      </c>
      <c r="E1856">
        <v>4417</v>
      </c>
      <c r="F1856">
        <v>24</v>
      </c>
      <c r="G1856">
        <v>75</v>
      </c>
      <c r="H1856" t="b">
        <v>1</v>
      </c>
      <c r="I1856">
        <f t="shared" si="56"/>
        <v>1</v>
      </c>
      <c r="J1856" t="str">
        <f t="shared" si="57"/>
        <v>751-850 (Excellent)</v>
      </c>
      <c r="K1856" s="1"/>
    </row>
    <row r="1857" spans="1:11" x14ac:dyDescent="0.35">
      <c r="A1857" t="s">
        <v>1561</v>
      </c>
      <c r="B1857" t="s">
        <v>1562</v>
      </c>
      <c r="C1857">
        <v>130931</v>
      </c>
      <c r="D1857">
        <v>360</v>
      </c>
      <c r="E1857">
        <v>4415</v>
      </c>
      <c r="F1857">
        <v>21</v>
      </c>
      <c r="G1857">
        <v>60</v>
      </c>
      <c r="H1857" t="b">
        <v>1</v>
      </c>
      <c r="I1857">
        <f t="shared" si="56"/>
        <v>1</v>
      </c>
      <c r="J1857" t="str">
        <f t="shared" si="57"/>
        <v>300-450 (Poor)</v>
      </c>
      <c r="K1857" s="1"/>
    </row>
    <row r="1858" spans="1:11" x14ac:dyDescent="0.35">
      <c r="A1858" t="s">
        <v>402</v>
      </c>
      <c r="B1858" t="s">
        <v>403</v>
      </c>
      <c r="C1858">
        <v>100381</v>
      </c>
      <c r="D1858">
        <v>399</v>
      </c>
      <c r="E1858">
        <v>4316</v>
      </c>
      <c r="F1858">
        <v>18</v>
      </c>
      <c r="G1858">
        <v>60</v>
      </c>
      <c r="H1858" t="b">
        <v>1</v>
      </c>
      <c r="I1858">
        <f t="shared" si="56"/>
        <v>1</v>
      </c>
      <c r="J1858" t="str">
        <f t="shared" si="57"/>
        <v>300-450 (Poor)</v>
      </c>
      <c r="K1858" s="1"/>
    </row>
    <row r="1859" spans="1:11" x14ac:dyDescent="0.35">
      <c r="A1859" t="s">
        <v>63</v>
      </c>
      <c r="B1859" t="s">
        <v>64</v>
      </c>
      <c r="C1859">
        <v>108907</v>
      </c>
      <c r="D1859">
        <v>400</v>
      </c>
      <c r="E1859">
        <v>4315</v>
      </c>
      <c r="F1859">
        <v>34</v>
      </c>
      <c r="G1859">
        <v>60</v>
      </c>
      <c r="H1859" t="b">
        <v>1</v>
      </c>
      <c r="I1859">
        <f t="shared" si="56"/>
        <v>1</v>
      </c>
      <c r="J1859" t="str">
        <f t="shared" si="57"/>
        <v>300-450 (Poor)</v>
      </c>
      <c r="K1859" s="1"/>
    </row>
    <row r="1860" spans="1:11" x14ac:dyDescent="0.35">
      <c r="A1860" t="s">
        <v>253</v>
      </c>
      <c r="B1860" t="s">
        <v>254</v>
      </c>
      <c r="C1860">
        <v>58785</v>
      </c>
      <c r="D1860">
        <v>321</v>
      </c>
      <c r="E1860">
        <v>4314</v>
      </c>
      <c r="F1860">
        <v>21</v>
      </c>
      <c r="G1860">
        <v>50</v>
      </c>
      <c r="H1860" t="b">
        <v>0</v>
      </c>
      <c r="I1860">
        <f t="shared" ref="I1860:I1923" si="58">--H1860</f>
        <v>0</v>
      </c>
      <c r="J1860" t="str">
        <f t="shared" ref="J1860:J1923" si="59">IF(D1860&gt;750, "751-850 (Excellent)", IF(D1860&gt;600, "601-750 (Good)", IF(D1860&gt;450, "451-600 (Fair)", "300-450 (Poor)")))</f>
        <v>300-450 (Poor)</v>
      </c>
      <c r="K1860" s="1"/>
    </row>
    <row r="1861" spans="1:11" x14ac:dyDescent="0.35">
      <c r="A1861" t="s">
        <v>119</v>
      </c>
      <c r="B1861" t="s">
        <v>120</v>
      </c>
      <c r="C1861">
        <v>42156</v>
      </c>
      <c r="D1861">
        <v>775</v>
      </c>
      <c r="E1861">
        <v>4291</v>
      </c>
      <c r="F1861">
        <v>35</v>
      </c>
      <c r="G1861">
        <v>70</v>
      </c>
      <c r="H1861" t="b">
        <v>1</v>
      </c>
      <c r="I1861">
        <f t="shared" si="58"/>
        <v>1</v>
      </c>
      <c r="J1861" t="str">
        <f t="shared" si="59"/>
        <v>751-850 (Excellent)</v>
      </c>
      <c r="K1861" s="1"/>
    </row>
    <row r="1862" spans="1:11" x14ac:dyDescent="0.35">
      <c r="A1862" t="s">
        <v>3843</v>
      </c>
      <c r="B1862" t="s">
        <v>3844</v>
      </c>
      <c r="C1862">
        <v>102264</v>
      </c>
      <c r="D1862">
        <v>827</v>
      </c>
      <c r="E1862">
        <v>4235</v>
      </c>
      <c r="F1862">
        <v>36</v>
      </c>
      <c r="G1862">
        <v>100</v>
      </c>
      <c r="H1862" t="b">
        <v>1</v>
      </c>
      <c r="I1862">
        <f t="shared" si="58"/>
        <v>1</v>
      </c>
      <c r="J1862" t="str">
        <f t="shared" si="59"/>
        <v>751-850 (Excellent)</v>
      </c>
      <c r="K1862" s="1"/>
    </row>
    <row r="1863" spans="1:11" x14ac:dyDescent="0.35">
      <c r="A1863" t="s">
        <v>1084</v>
      </c>
      <c r="B1863" t="s">
        <v>1085</v>
      </c>
      <c r="C1863">
        <v>87912</v>
      </c>
      <c r="D1863">
        <v>562</v>
      </c>
      <c r="E1863">
        <v>4216</v>
      </c>
      <c r="F1863">
        <v>23</v>
      </c>
      <c r="G1863">
        <v>55</v>
      </c>
      <c r="H1863" t="b">
        <v>0</v>
      </c>
      <c r="I1863">
        <f t="shared" si="58"/>
        <v>0</v>
      </c>
      <c r="J1863" t="str">
        <f t="shared" si="59"/>
        <v>451-600 (Fair)</v>
      </c>
      <c r="K1863" s="1"/>
    </row>
    <row r="1864" spans="1:11" x14ac:dyDescent="0.35">
      <c r="A1864" t="s">
        <v>815</v>
      </c>
      <c r="B1864" t="s">
        <v>816</v>
      </c>
      <c r="C1864">
        <v>54890</v>
      </c>
      <c r="D1864">
        <v>320</v>
      </c>
      <c r="E1864">
        <v>4161</v>
      </c>
      <c r="F1864">
        <v>7</v>
      </c>
      <c r="G1864">
        <v>45</v>
      </c>
      <c r="H1864" t="b">
        <v>0</v>
      </c>
      <c r="I1864">
        <f t="shared" si="58"/>
        <v>0</v>
      </c>
      <c r="J1864" t="str">
        <f t="shared" si="59"/>
        <v>300-450 (Poor)</v>
      </c>
      <c r="K1864" s="1"/>
    </row>
    <row r="1865" spans="1:11" x14ac:dyDescent="0.35">
      <c r="A1865" t="s">
        <v>3509</v>
      </c>
      <c r="B1865" t="s">
        <v>3510</v>
      </c>
      <c r="C1865">
        <v>146294</v>
      </c>
      <c r="D1865">
        <v>326</v>
      </c>
      <c r="E1865">
        <v>4140</v>
      </c>
      <c r="F1865">
        <v>4</v>
      </c>
      <c r="G1865">
        <v>50</v>
      </c>
      <c r="H1865" t="b">
        <v>0</v>
      </c>
      <c r="I1865">
        <f t="shared" si="58"/>
        <v>0</v>
      </c>
      <c r="J1865" t="str">
        <f t="shared" si="59"/>
        <v>300-450 (Poor)</v>
      </c>
      <c r="K1865" s="1"/>
    </row>
    <row r="1866" spans="1:11" x14ac:dyDescent="0.35">
      <c r="A1866" t="s">
        <v>3285</v>
      </c>
      <c r="B1866" t="s">
        <v>3286</v>
      </c>
      <c r="C1866">
        <v>54920</v>
      </c>
      <c r="D1866">
        <v>740</v>
      </c>
      <c r="E1866">
        <v>4130</v>
      </c>
      <c r="F1866">
        <v>4</v>
      </c>
      <c r="G1866">
        <v>75</v>
      </c>
      <c r="H1866" t="b">
        <v>1</v>
      </c>
      <c r="I1866">
        <f t="shared" si="58"/>
        <v>1</v>
      </c>
      <c r="J1866" t="str">
        <f t="shared" si="59"/>
        <v>601-750 (Good)</v>
      </c>
      <c r="K1866" s="1"/>
    </row>
    <row r="1867" spans="1:11" x14ac:dyDescent="0.35">
      <c r="A1867" t="s">
        <v>3518</v>
      </c>
      <c r="B1867" t="s">
        <v>3519</v>
      </c>
      <c r="C1867">
        <v>78629</v>
      </c>
      <c r="D1867">
        <v>693</v>
      </c>
      <c r="E1867">
        <v>4125</v>
      </c>
      <c r="F1867">
        <v>10</v>
      </c>
      <c r="G1867">
        <v>80</v>
      </c>
      <c r="H1867" t="b">
        <v>1</v>
      </c>
      <c r="I1867">
        <f t="shared" si="58"/>
        <v>1</v>
      </c>
      <c r="J1867" t="str">
        <f t="shared" si="59"/>
        <v>601-750 (Good)</v>
      </c>
      <c r="K1867" s="1"/>
    </row>
    <row r="1868" spans="1:11" x14ac:dyDescent="0.35">
      <c r="A1868" t="s">
        <v>1394</v>
      </c>
      <c r="B1868" t="s">
        <v>1395</v>
      </c>
      <c r="C1868">
        <v>121384</v>
      </c>
      <c r="D1868">
        <v>595</v>
      </c>
      <c r="E1868">
        <v>4101</v>
      </c>
      <c r="F1868">
        <v>9</v>
      </c>
      <c r="G1868">
        <v>70</v>
      </c>
      <c r="H1868" t="b">
        <v>1</v>
      </c>
      <c r="I1868">
        <f t="shared" si="58"/>
        <v>1</v>
      </c>
      <c r="J1868" t="str">
        <f t="shared" si="59"/>
        <v>451-600 (Fair)</v>
      </c>
      <c r="K1868" s="1"/>
    </row>
    <row r="1869" spans="1:11" x14ac:dyDescent="0.35">
      <c r="A1869" t="s">
        <v>1731</v>
      </c>
      <c r="B1869" t="s">
        <v>1732</v>
      </c>
      <c r="C1869">
        <v>148598</v>
      </c>
      <c r="D1869">
        <v>529</v>
      </c>
      <c r="E1869">
        <v>4077</v>
      </c>
      <c r="F1869">
        <v>17</v>
      </c>
      <c r="G1869">
        <v>60</v>
      </c>
      <c r="H1869" t="b">
        <v>1</v>
      </c>
      <c r="I1869">
        <f t="shared" si="58"/>
        <v>1</v>
      </c>
      <c r="J1869" t="str">
        <f t="shared" si="59"/>
        <v>451-600 (Fair)</v>
      </c>
      <c r="K1869" s="1"/>
    </row>
    <row r="1870" spans="1:11" x14ac:dyDescent="0.35">
      <c r="A1870" t="s">
        <v>490</v>
      </c>
      <c r="B1870" t="s">
        <v>491</v>
      </c>
      <c r="C1870">
        <v>145175</v>
      </c>
      <c r="D1870">
        <v>807</v>
      </c>
      <c r="E1870">
        <v>4072</v>
      </c>
      <c r="F1870">
        <v>22</v>
      </c>
      <c r="G1870">
        <v>100</v>
      </c>
      <c r="H1870" t="b">
        <v>1</v>
      </c>
      <c r="I1870">
        <f t="shared" si="58"/>
        <v>1</v>
      </c>
      <c r="J1870" t="str">
        <f t="shared" si="59"/>
        <v>751-850 (Excellent)</v>
      </c>
      <c r="K1870" s="1"/>
    </row>
    <row r="1871" spans="1:11" x14ac:dyDescent="0.35">
      <c r="A1871" t="s">
        <v>1774</v>
      </c>
      <c r="B1871" t="s">
        <v>1775</v>
      </c>
      <c r="C1871">
        <v>126289</v>
      </c>
      <c r="D1871">
        <v>550</v>
      </c>
      <c r="E1871">
        <v>4027</v>
      </c>
      <c r="F1871">
        <v>39</v>
      </c>
      <c r="G1871">
        <v>60</v>
      </c>
      <c r="H1871" t="b">
        <v>1</v>
      </c>
      <c r="I1871">
        <f t="shared" si="58"/>
        <v>1</v>
      </c>
      <c r="J1871" t="str">
        <f t="shared" si="59"/>
        <v>451-600 (Fair)</v>
      </c>
      <c r="K1871" s="1"/>
    </row>
    <row r="1872" spans="1:11" x14ac:dyDescent="0.35">
      <c r="A1872" t="s">
        <v>2713</v>
      </c>
      <c r="B1872" t="s">
        <v>642</v>
      </c>
      <c r="C1872">
        <v>97449</v>
      </c>
      <c r="D1872">
        <v>781</v>
      </c>
      <c r="E1872">
        <v>4014</v>
      </c>
      <c r="F1872">
        <v>24</v>
      </c>
      <c r="G1872">
        <v>90</v>
      </c>
      <c r="H1872" t="b">
        <v>1</v>
      </c>
      <c r="I1872">
        <f t="shared" si="58"/>
        <v>1</v>
      </c>
      <c r="J1872" t="str">
        <f t="shared" si="59"/>
        <v>751-850 (Excellent)</v>
      </c>
      <c r="K1872" s="1"/>
    </row>
    <row r="1873" spans="1:11" x14ac:dyDescent="0.35">
      <c r="A1873" t="s">
        <v>855</v>
      </c>
      <c r="B1873" t="s">
        <v>856</v>
      </c>
      <c r="C1873">
        <v>40500</v>
      </c>
      <c r="D1873">
        <v>408</v>
      </c>
      <c r="E1873">
        <v>4000</v>
      </c>
      <c r="F1873">
        <v>10</v>
      </c>
      <c r="G1873">
        <v>40</v>
      </c>
      <c r="H1873" t="b">
        <v>0</v>
      </c>
      <c r="I1873">
        <f t="shared" si="58"/>
        <v>0</v>
      </c>
      <c r="J1873" t="str">
        <f t="shared" si="59"/>
        <v>300-450 (Poor)</v>
      </c>
      <c r="K1873" s="1"/>
    </row>
    <row r="1874" spans="1:11" x14ac:dyDescent="0.35">
      <c r="A1874" t="s">
        <v>1707</v>
      </c>
      <c r="B1874" t="s">
        <v>1708</v>
      </c>
      <c r="C1874">
        <v>38418</v>
      </c>
      <c r="D1874">
        <v>588</v>
      </c>
      <c r="E1874">
        <v>3980</v>
      </c>
      <c r="F1874">
        <v>10</v>
      </c>
      <c r="G1874">
        <v>50</v>
      </c>
      <c r="H1874" t="b">
        <v>0</v>
      </c>
      <c r="I1874">
        <f t="shared" si="58"/>
        <v>0</v>
      </c>
      <c r="J1874" t="str">
        <f t="shared" si="59"/>
        <v>451-600 (Fair)</v>
      </c>
      <c r="K1874" s="1"/>
    </row>
    <row r="1875" spans="1:11" x14ac:dyDescent="0.35">
      <c r="A1875" t="s">
        <v>353</v>
      </c>
      <c r="B1875" t="s">
        <v>354</v>
      </c>
      <c r="C1875">
        <v>36175</v>
      </c>
      <c r="D1875">
        <v>436</v>
      </c>
      <c r="E1875">
        <v>3905</v>
      </c>
      <c r="F1875">
        <v>22</v>
      </c>
      <c r="G1875">
        <v>35</v>
      </c>
      <c r="H1875" t="b">
        <v>0</v>
      </c>
      <c r="I1875">
        <f t="shared" si="58"/>
        <v>0</v>
      </c>
      <c r="J1875" t="str">
        <f t="shared" si="59"/>
        <v>300-450 (Poor)</v>
      </c>
      <c r="K1875" s="1"/>
    </row>
    <row r="1876" spans="1:11" x14ac:dyDescent="0.35">
      <c r="A1876" t="s">
        <v>3374</v>
      </c>
      <c r="B1876" t="s">
        <v>3375</v>
      </c>
      <c r="C1876">
        <v>138093</v>
      </c>
      <c r="D1876">
        <v>546</v>
      </c>
      <c r="E1876">
        <v>3894</v>
      </c>
      <c r="F1876">
        <v>30</v>
      </c>
      <c r="G1876">
        <v>60</v>
      </c>
      <c r="H1876" t="b">
        <v>1</v>
      </c>
      <c r="I1876">
        <f t="shared" si="58"/>
        <v>1</v>
      </c>
      <c r="J1876" t="str">
        <f t="shared" si="59"/>
        <v>451-600 (Fair)</v>
      </c>
      <c r="K1876" s="1"/>
    </row>
    <row r="1877" spans="1:11" x14ac:dyDescent="0.35">
      <c r="A1877" t="s">
        <v>2913</v>
      </c>
      <c r="B1877" t="s">
        <v>2712</v>
      </c>
      <c r="C1877">
        <v>89682</v>
      </c>
      <c r="D1877">
        <v>625</v>
      </c>
      <c r="E1877">
        <v>3867</v>
      </c>
      <c r="F1877">
        <v>36</v>
      </c>
      <c r="G1877">
        <v>70</v>
      </c>
      <c r="H1877" t="b">
        <v>1</v>
      </c>
      <c r="I1877">
        <f t="shared" si="58"/>
        <v>1</v>
      </c>
      <c r="J1877" t="str">
        <f t="shared" si="59"/>
        <v>601-750 (Good)</v>
      </c>
      <c r="K1877" s="1"/>
    </row>
    <row r="1878" spans="1:11" x14ac:dyDescent="0.35">
      <c r="A1878" t="s">
        <v>2083</v>
      </c>
      <c r="B1878" t="s">
        <v>2084</v>
      </c>
      <c r="C1878">
        <v>100539</v>
      </c>
      <c r="D1878">
        <v>386</v>
      </c>
      <c r="E1878">
        <v>3840</v>
      </c>
      <c r="F1878">
        <v>38</v>
      </c>
      <c r="G1878">
        <v>60</v>
      </c>
      <c r="H1878" t="b">
        <v>1</v>
      </c>
      <c r="I1878">
        <f t="shared" si="58"/>
        <v>1</v>
      </c>
      <c r="J1878" t="str">
        <f t="shared" si="59"/>
        <v>300-450 (Poor)</v>
      </c>
      <c r="K1878" s="1"/>
    </row>
    <row r="1879" spans="1:11" x14ac:dyDescent="0.35">
      <c r="A1879" t="s">
        <v>3081</v>
      </c>
      <c r="B1879" t="s">
        <v>3082</v>
      </c>
      <c r="C1879">
        <v>144370</v>
      </c>
      <c r="D1879">
        <v>468</v>
      </c>
      <c r="E1879">
        <v>3802</v>
      </c>
      <c r="F1879">
        <v>21</v>
      </c>
      <c r="G1879">
        <v>60</v>
      </c>
      <c r="H1879" t="b">
        <v>1</v>
      </c>
      <c r="I1879">
        <f t="shared" si="58"/>
        <v>1</v>
      </c>
      <c r="J1879" t="str">
        <f t="shared" si="59"/>
        <v>451-600 (Fair)</v>
      </c>
      <c r="K1879" s="1"/>
    </row>
    <row r="1880" spans="1:11" x14ac:dyDescent="0.35">
      <c r="A1880" t="s">
        <v>3434</v>
      </c>
      <c r="B1880" t="s">
        <v>3435</v>
      </c>
      <c r="C1880">
        <v>78311</v>
      </c>
      <c r="D1880">
        <v>597</v>
      </c>
      <c r="E1880">
        <v>3773</v>
      </c>
      <c r="F1880">
        <v>11</v>
      </c>
      <c r="G1880">
        <v>70</v>
      </c>
      <c r="H1880" t="b">
        <v>1</v>
      </c>
      <c r="I1880">
        <f t="shared" si="58"/>
        <v>1</v>
      </c>
      <c r="J1880" t="str">
        <f t="shared" si="59"/>
        <v>451-600 (Fair)</v>
      </c>
      <c r="K1880" s="1"/>
    </row>
    <row r="1881" spans="1:11" x14ac:dyDescent="0.35">
      <c r="A1881" t="s">
        <v>2439</v>
      </c>
      <c r="B1881" t="s">
        <v>2440</v>
      </c>
      <c r="C1881">
        <v>109905</v>
      </c>
      <c r="D1881">
        <v>446</v>
      </c>
      <c r="E1881">
        <v>3748</v>
      </c>
      <c r="F1881">
        <v>13</v>
      </c>
      <c r="G1881">
        <v>60</v>
      </c>
      <c r="H1881" t="b">
        <v>1</v>
      </c>
      <c r="I1881">
        <f t="shared" si="58"/>
        <v>1</v>
      </c>
      <c r="J1881" t="str">
        <f t="shared" si="59"/>
        <v>300-450 (Poor)</v>
      </c>
      <c r="K1881" s="1"/>
    </row>
    <row r="1882" spans="1:11" x14ac:dyDescent="0.35">
      <c r="A1882" t="s">
        <v>3227</v>
      </c>
      <c r="B1882" t="s">
        <v>3228</v>
      </c>
      <c r="C1882">
        <v>68780</v>
      </c>
      <c r="D1882">
        <v>525</v>
      </c>
      <c r="E1882">
        <v>3745</v>
      </c>
      <c r="F1882">
        <v>2</v>
      </c>
      <c r="G1882">
        <v>40</v>
      </c>
      <c r="H1882" t="b">
        <v>0</v>
      </c>
      <c r="I1882">
        <f t="shared" si="58"/>
        <v>0</v>
      </c>
      <c r="J1882" t="str">
        <f t="shared" si="59"/>
        <v>451-600 (Fair)</v>
      </c>
      <c r="K1882" s="1"/>
    </row>
    <row r="1883" spans="1:11" x14ac:dyDescent="0.35">
      <c r="A1883" t="s">
        <v>3665</v>
      </c>
      <c r="B1883" t="s">
        <v>3666</v>
      </c>
      <c r="C1883">
        <v>142513</v>
      </c>
      <c r="D1883">
        <v>485</v>
      </c>
      <c r="E1883">
        <v>3742</v>
      </c>
      <c r="F1883">
        <v>7</v>
      </c>
      <c r="G1883">
        <v>55</v>
      </c>
      <c r="H1883" t="b">
        <v>0</v>
      </c>
      <c r="I1883">
        <f t="shared" si="58"/>
        <v>0</v>
      </c>
      <c r="J1883" t="str">
        <f t="shared" si="59"/>
        <v>451-600 (Fair)</v>
      </c>
      <c r="K1883" s="1"/>
    </row>
    <row r="1884" spans="1:11" x14ac:dyDescent="0.35">
      <c r="A1884" t="s">
        <v>1703</v>
      </c>
      <c r="B1884" t="s">
        <v>1704</v>
      </c>
      <c r="C1884">
        <v>122591</v>
      </c>
      <c r="D1884">
        <v>762</v>
      </c>
      <c r="E1884">
        <v>3738</v>
      </c>
      <c r="F1884">
        <v>0</v>
      </c>
      <c r="G1884">
        <v>80</v>
      </c>
      <c r="H1884" t="b">
        <v>1</v>
      </c>
      <c r="I1884">
        <f t="shared" si="58"/>
        <v>1</v>
      </c>
      <c r="J1884" t="str">
        <f t="shared" si="59"/>
        <v>751-850 (Excellent)</v>
      </c>
      <c r="K1884" s="1"/>
    </row>
    <row r="1885" spans="1:11" x14ac:dyDescent="0.35">
      <c r="A1885" t="s">
        <v>3252</v>
      </c>
      <c r="B1885" t="s">
        <v>3253</v>
      </c>
      <c r="C1885">
        <v>127605</v>
      </c>
      <c r="D1885">
        <v>389</v>
      </c>
      <c r="E1885">
        <v>3649</v>
      </c>
      <c r="F1885">
        <v>10</v>
      </c>
      <c r="G1885">
        <v>60</v>
      </c>
      <c r="H1885" t="b">
        <v>1</v>
      </c>
      <c r="I1885">
        <f t="shared" si="58"/>
        <v>1</v>
      </c>
      <c r="J1885" t="str">
        <f t="shared" si="59"/>
        <v>300-450 (Poor)</v>
      </c>
      <c r="K1885" s="1"/>
    </row>
    <row r="1886" spans="1:11" x14ac:dyDescent="0.35">
      <c r="A1886" t="s">
        <v>936</v>
      </c>
      <c r="B1886" t="s">
        <v>937</v>
      </c>
      <c r="C1886">
        <v>31220</v>
      </c>
      <c r="D1886">
        <v>667</v>
      </c>
      <c r="E1886">
        <v>3648</v>
      </c>
      <c r="F1886">
        <v>14</v>
      </c>
      <c r="G1886">
        <v>50</v>
      </c>
      <c r="H1886" t="b">
        <v>0</v>
      </c>
      <c r="I1886">
        <f t="shared" si="58"/>
        <v>0</v>
      </c>
      <c r="J1886" t="str">
        <f t="shared" si="59"/>
        <v>601-750 (Good)</v>
      </c>
      <c r="K1886" s="1"/>
    </row>
    <row r="1887" spans="1:11" x14ac:dyDescent="0.35">
      <c r="A1887" t="s">
        <v>1673</v>
      </c>
      <c r="B1887" t="s">
        <v>1674</v>
      </c>
      <c r="C1887">
        <v>40155</v>
      </c>
      <c r="D1887">
        <v>596</v>
      </c>
      <c r="E1887">
        <v>3639</v>
      </c>
      <c r="F1887">
        <v>33</v>
      </c>
      <c r="G1887">
        <v>55</v>
      </c>
      <c r="H1887" t="b">
        <v>0</v>
      </c>
      <c r="I1887">
        <f t="shared" si="58"/>
        <v>0</v>
      </c>
      <c r="J1887" t="str">
        <f t="shared" si="59"/>
        <v>451-600 (Fair)</v>
      </c>
      <c r="K1887" s="1"/>
    </row>
    <row r="1888" spans="1:11" x14ac:dyDescent="0.35">
      <c r="A1888" t="s">
        <v>3045</v>
      </c>
      <c r="B1888" t="s">
        <v>3046</v>
      </c>
      <c r="C1888">
        <v>129536</v>
      </c>
      <c r="D1888">
        <v>369</v>
      </c>
      <c r="E1888">
        <v>3629</v>
      </c>
      <c r="F1888">
        <v>12</v>
      </c>
      <c r="G1888">
        <v>60</v>
      </c>
      <c r="H1888" t="b">
        <v>1</v>
      </c>
      <c r="I1888">
        <f t="shared" si="58"/>
        <v>1</v>
      </c>
      <c r="J1888" t="str">
        <f t="shared" si="59"/>
        <v>300-450 (Poor)</v>
      </c>
      <c r="K1888" s="1"/>
    </row>
    <row r="1889" spans="1:11" x14ac:dyDescent="0.35">
      <c r="A1889" t="s">
        <v>886</v>
      </c>
      <c r="B1889" t="s">
        <v>887</v>
      </c>
      <c r="C1889">
        <v>35209</v>
      </c>
      <c r="D1889">
        <v>458</v>
      </c>
      <c r="E1889">
        <v>3617</v>
      </c>
      <c r="F1889">
        <v>9</v>
      </c>
      <c r="G1889">
        <v>30</v>
      </c>
      <c r="H1889" t="b">
        <v>0</v>
      </c>
      <c r="I1889">
        <f t="shared" si="58"/>
        <v>0</v>
      </c>
      <c r="J1889" t="str">
        <f t="shared" si="59"/>
        <v>451-600 (Fair)</v>
      </c>
      <c r="K1889" s="1"/>
    </row>
    <row r="1890" spans="1:11" x14ac:dyDescent="0.35">
      <c r="A1890" t="s">
        <v>2602</v>
      </c>
      <c r="B1890" t="s">
        <v>2603</v>
      </c>
      <c r="C1890">
        <v>60005</v>
      </c>
      <c r="D1890">
        <v>588</v>
      </c>
      <c r="E1890">
        <v>3611</v>
      </c>
      <c r="F1890">
        <v>7</v>
      </c>
      <c r="G1890">
        <v>60</v>
      </c>
      <c r="H1890" t="b">
        <v>1</v>
      </c>
      <c r="I1890">
        <f t="shared" si="58"/>
        <v>1</v>
      </c>
      <c r="J1890" t="str">
        <f t="shared" si="59"/>
        <v>451-600 (Fair)</v>
      </c>
      <c r="K1890" s="1"/>
    </row>
    <row r="1891" spans="1:11" x14ac:dyDescent="0.35">
      <c r="A1891" t="s">
        <v>2920</v>
      </c>
      <c r="B1891" t="s">
        <v>2117</v>
      </c>
      <c r="C1891">
        <v>121422</v>
      </c>
      <c r="D1891">
        <v>679</v>
      </c>
      <c r="E1891">
        <v>3518</v>
      </c>
      <c r="F1891">
        <v>9</v>
      </c>
      <c r="G1891">
        <v>80</v>
      </c>
      <c r="H1891" t="b">
        <v>1</v>
      </c>
      <c r="I1891">
        <f t="shared" si="58"/>
        <v>1</v>
      </c>
      <c r="J1891" t="str">
        <f t="shared" si="59"/>
        <v>601-750 (Good)</v>
      </c>
      <c r="K1891" s="1"/>
    </row>
    <row r="1892" spans="1:11" x14ac:dyDescent="0.35">
      <c r="A1892" t="s">
        <v>2610</v>
      </c>
      <c r="B1892" t="s">
        <v>2119</v>
      </c>
      <c r="C1892">
        <v>105392</v>
      </c>
      <c r="D1892">
        <v>681</v>
      </c>
      <c r="E1892">
        <v>3509</v>
      </c>
      <c r="F1892">
        <v>9</v>
      </c>
      <c r="G1892">
        <v>80</v>
      </c>
      <c r="H1892" t="b">
        <v>1</v>
      </c>
      <c r="I1892">
        <f t="shared" si="58"/>
        <v>1</v>
      </c>
      <c r="J1892" t="str">
        <f t="shared" si="59"/>
        <v>601-750 (Good)</v>
      </c>
      <c r="K1892" s="1"/>
    </row>
    <row r="1893" spans="1:11" x14ac:dyDescent="0.35">
      <c r="A1893" t="s">
        <v>2909</v>
      </c>
      <c r="B1893" t="s">
        <v>2910</v>
      </c>
      <c r="C1893">
        <v>101228</v>
      </c>
      <c r="D1893">
        <v>534</v>
      </c>
      <c r="E1893">
        <v>3492</v>
      </c>
      <c r="F1893">
        <v>24</v>
      </c>
      <c r="G1893">
        <v>60</v>
      </c>
      <c r="H1893" t="b">
        <v>1</v>
      </c>
      <c r="I1893">
        <f t="shared" si="58"/>
        <v>1</v>
      </c>
      <c r="J1893" t="str">
        <f t="shared" si="59"/>
        <v>451-600 (Fair)</v>
      </c>
      <c r="K1893" s="1"/>
    </row>
    <row r="1894" spans="1:11" x14ac:dyDescent="0.35">
      <c r="A1894" t="s">
        <v>709</v>
      </c>
      <c r="B1894" t="s">
        <v>710</v>
      </c>
      <c r="C1894">
        <v>55112</v>
      </c>
      <c r="D1894">
        <v>802</v>
      </c>
      <c r="E1894">
        <v>3487</v>
      </c>
      <c r="F1894">
        <v>5</v>
      </c>
      <c r="G1894">
        <v>85</v>
      </c>
      <c r="H1894" t="b">
        <v>1</v>
      </c>
      <c r="I1894">
        <f t="shared" si="58"/>
        <v>1</v>
      </c>
      <c r="J1894" t="str">
        <f t="shared" si="59"/>
        <v>751-850 (Excellent)</v>
      </c>
      <c r="K1894" s="1"/>
    </row>
    <row r="1895" spans="1:11" x14ac:dyDescent="0.35">
      <c r="A1895" t="s">
        <v>3717</v>
      </c>
      <c r="B1895" t="s">
        <v>3718</v>
      </c>
      <c r="C1895">
        <v>44896</v>
      </c>
      <c r="D1895">
        <v>813</v>
      </c>
      <c r="E1895">
        <v>3483</v>
      </c>
      <c r="F1895">
        <v>37</v>
      </c>
      <c r="G1895">
        <v>80</v>
      </c>
      <c r="H1895" t="b">
        <v>1</v>
      </c>
      <c r="I1895">
        <f t="shared" si="58"/>
        <v>1</v>
      </c>
      <c r="J1895" t="str">
        <f t="shared" si="59"/>
        <v>751-850 (Excellent)</v>
      </c>
      <c r="K1895" s="1"/>
    </row>
    <row r="1896" spans="1:11" x14ac:dyDescent="0.35">
      <c r="A1896" t="s">
        <v>902</v>
      </c>
      <c r="B1896" t="s">
        <v>903</v>
      </c>
      <c r="C1896">
        <v>71467</v>
      </c>
      <c r="D1896">
        <v>639</v>
      </c>
      <c r="E1896">
        <v>3482</v>
      </c>
      <c r="F1896">
        <v>5</v>
      </c>
      <c r="G1896">
        <v>60</v>
      </c>
      <c r="H1896" t="b">
        <v>1</v>
      </c>
      <c r="I1896">
        <f t="shared" si="58"/>
        <v>1</v>
      </c>
      <c r="J1896" t="str">
        <f t="shared" si="59"/>
        <v>601-750 (Good)</v>
      </c>
      <c r="K1896" s="1"/>
    </row>
    <row r="1897" spans="1:11" x14ac:dyDescent="0.35">
      <c r="A1897" t="s">
        <v>803</v>
      </c>
      <c r="B1897" t="s">
        <v>804</v>
      </c>
      <c r="C1897">
        <v>132676</v>
      </c>
      <c r="D1897">
        <v>304</v>
      </c>
      <c r="E1897">
        <v>3472</v>
      </c>
      <c r="F1897">
        <v>34</v>
      </c>
      <c r="G1897">
        <v>60</v>
      </c>
      <c r="H1897" t="b">
        <v>1</v>
      </c>
      <c r="I1897">
        <f t="shared" si="58"/>
        <v>1</v>
      </c>
      <c r="J1897" t="str">
        <f t="shared" si="59"/>
        <v>300-450 (Poor)</v>
      </c>
      <c r="K1897" s="1"/>
    </row>
    <row r="1898" spans="1:11" x14ac:dyDescent="0.35">
      <c r="A1898" t="s">
        <v>211</v>
      </c>
      <c r="B1898" t="s">
        <v>212</v>
      </c>
      <c r="C1898">
        <v>76566</v>
      </c>
      <c r="D1898">
        <v>807</v>
      </c>
      <c r="E1898">
        <v>3426</v>
      </c>
      <c r="F1898">
        <v>8</v>
      </c>
      <c r="G1898">
        <v>90</v>
      </c>
      <c r="H1898" t="b">
        <v>1</v>
      </c>
      <c r="I1898">
        <f t="shared" si="58"/>
        <v>1</v>
      </c>
      <c r="J1898" t="str">
        <f t="shared" si="59"/>
        <v>751-850 (Excellent)</v>
      </c>
      <c r="K1898" s="1"/>
    </row>
    <row r="1899" spans="1:11" x14ac:dyDescent="0.35">
      <c r="A1899" t="s">
        <v>2500</v>
      </c>
      <c r="B1899" t="s">
        <v>2501</v>
      </c>
      <c r="C1899">
        <v>39329</v>
      </c>
      <c r="D1899">
        <v>454</v>
      </c>
      <c r="E1899">
        <v>3392</v>
      </c>
      <c r="F1899">
        <v>20</v>
      </c>
      <c r="G1899">
        <v>40</v>
      </c>
      <c r="H1899" t="b">
        <v>0</v>
      </c>
      <c r="I1899">
        <f t="shared" si="58"/>
        <v>0</v>
      </c>
      <c r="J1899" t="str">
        <f t="shared" si="59"/>
        <v>451-600 (Fair)</v>
      </c>
      <c r="K1899" s="1"/>
    </row>
    <row r="1900" spans="1:11" x14ac:dyDescent="0.35">
      <c r="A1900" t="s">
        <v>2480</v>
      </c>
      <c r="B1900" t="s">
        <v>2481</v>
      </c>
      <c r="C1900">
        <v>91592</v>
      </c>
      <c r="D1900">
        <v>313</v>
      </c>
      <c r="E1900">
        <v>3364</v>
      </c>
      <c r="F1900">
        <v>1</v>
      </c>
      <c r="G1900">
        <v>40</v>
      </c>
      <c r="H1900" t="b">
        <v>0</v>
      </c>
      <c r="I1900">
        <f t="shared" si="58"/>
        <v>0</v>
      </c>
      <c r="J1900" t="str">
        <f t="shared" si="59"/>
        <v>300-450 (Poor)</v>
      </c>
      <c r="K1900" s="1"/>
    </row>
    <row r="1901" spans="1:11" x14ac:dyDescent="0.35">
      <c r="A1901" t="s">
        <v>1185</v>
      </c>
      <c r="B1901" t="s">
        <v>1186</v>
      </c>
      <c r="C1901">
        <v>53509</v>
      </c>
      <c r="D1901">
        <v>668</v>
      </c>
      <c r="E1901">
        <v>3348</v>
      </c>
      <c r="F1901">
        <v>5</v>
      </c>
      <c r="G1901">
        <v>60</v>
      </c>
      <c r="H1901" t="b">
        <v>1</v>
      </c>
      <c r="I1901">
        <f t="shared" si="58"/>
        <v>1</v>
      </c>
      <c r="J1901" t="str">
        <f t="shared" si="59"/>
        <v>601-750 (Good)</v>
      </c>
      <c r="K1901" s="1"/>
    </row>
    <row r="1902" spans="1:11" x14ac:dyDescent="0.35">
      <c r="A1902" t="s">
        <v>3385</v>
      </c>
      <c r="B1902" t="s">
        <v>3386</v>
      </c>
      <c r="C1902">
        <v>74396</v>
      </c>
      <c r="D1902">
        <v>683</v>
      </c>
      <c r="E1902">
        <v>3302</v>
      </c>
      <c r="F1902">
        <v>34</v>
      </c>
      <c r="G1902">
        <v>75</v>
      </c>
      <c r="H1902" t="b">
        <v>1</v>
      </c>
      <c r="I1902">
        <f t="shared" si="58"/>
        <v>1</v>
      </c>
      <c r="J1902" t="str">
        <f t="shared" si="59"/>
        <v>601-750 (Good)</v>
      </c>
      <c r="K1902" s="1"/>
    </row>
    <row r="1903" spans="1:11" x14ac:dyDescent="0.35">
      <c r="A1903" t="s">
        <v>369</v>
      </c>
      <c r="B1903" t="s">
        <v>370</v>
      </c>
      <c r="C1903">
        <v>85333</v>
      </c>
      <c r="D1903">
        <v>748</v>
      </c>
      <c r="E1903">
        <v>3280</v>
      </c>
      <c r="F1903">
        <v>8</v>
      </c>
      <c r="G1903">
        <v>85</v>
      </c>
      <c r="H1903" t="b">
        <v>1</v>
      </c>
      <c r="I1903">
        <f t="shared" si="58"/>
        <v>1</v>
      </c>
      <c r="J1903" t="str">
        <f t="shared" si="59"/>
        <v>601-750 (Good)</v>
      </c>
      <c r="K1903" s="1"/>
    </row>
    <row r="1904" spans="1:11" x14ac:dyDescent="0.35">
      <c r="A1904" t="s">
        <v>3553</v>
      </c>
      <c r="B1904" t="s">
        <v>3554</v>
      </c>
      <c r="C1904">
        <v>66666</v>
      </c>
      <c r="D1904">
        <v>638</v>
      </c>
      <c r="E1904">
        <v>3222</v>
      </c>
      <c r="F1904">
        <v>38</v>
      </c>
      <c r="G1904">
        <v>65</v>
      </c>
      <c r="H1904" t="b">
        <v>1</v>
      </c>
      <c r="I1904">
        <f t="shared" si="58"/>
        <v>1</v>
      </c>
      <c r="J1904" t="str">
        <f t="shared" si="59"/>
        <v>601-750 (Good)</v>
      </c>
      <c r="K1904" s="1"/>
    </row>
    <row r="1905" spans="1:11" x14ac:dyDescent="0.35">
      <c r="A1905" t="s">
        <v>1281</v>
      </c>
      <c r="B1905" t="s">
        <v>1282</v>
      </c>
      <c r="C1905">
        <v>73404</v>
      </c>
      <c r="D1905">
        <v>840</v>
      </c>
      <c r="E1905">
        <v>3168</v>
      </c>
      <c r="F1905">
        <v>21</v>
      </c>
      <c r="G1905">
        <v>90</v>
      </c>
      <c r="H1905" t="b">
        <v>1</v>
      </c>
      <c r="I1905">
        <f t="shared" si="58"/>
        <v>1</v>
      </c>
      <c r="J1905" t="str">
        <f t="shared" si="59"/>
        <v>751-850 (Excellent)</v>
      </c>
      <c r="K1905" s="1"/>
    </row>
    <row r="1906" spans="1:11" x14ac:dyDescent="0.35">
      <c r="A1906" t="s">
        <v>2178</v>
      </c>
      <c r="B1906" t="s">
        <v>2179</v>
      </c>
      <c r="C1906">
        <v>94038</v>
      </c>
      <c r="D1906">
        <v>724</v>
      </c>
      <c r="E1906">
        <v>3141</v>
      </c>
      <c r="F1906">
        <v>0</v>
      </c>
      <c r="G1906">
        <v>65</v>
      </c>
      <c r="H1906" t="b">
        <v>1</v>
      </c>
      <c r="I1906">
        <f t="shared" si="58"/>
        <v>1</v>
      </c>
      <c r="J1906" t="str">
        <f t="shared" si="59"/>
        <v>601-750 (Good)</v>
      </c>
      <c r="K1906" s="1"/>
    </row>
    <row r="1907" spans="1:11" x14ac:dyDescent="0.35">
      <c r="A1907" t="s">
        <v>2726</v>
      </c>
      <c r="B1907" t="s">
        <v>2727</v>
      </c>
      <c r="C1907">
        <v>84165</v>
      </c>
      <c r="D1907">
        <v>747</v>
      </c>
      <c r="E1907">
        <v>3102</v>
      </c>
      <c r="F1907">
        <v>32</v>
      </c>
      <c r="G1907">
        <v>90</v>
      </c>
      <c r="H1907" t="b">
        <v>1</v>
      </c>
      <c r="I1907">
        <f t="shared" si="58"/>
        <v>1</v>
      </c>
      <c r="J1907" t="str">
        <f t="shared" si="59"/>
        <v>601-750 (Good)</v>
      </c>
      <c r="K1907" s="1"/>
    </row>
    <row r="1908" spans="1:11" x14ac:dyDescent="0.35">
      <c r="A1908" t="s">
        <v>474</v>
      </c>
      <c r="B1908" t="s">
        <v>475</v>
      </c>
      <c r="C1908">
        <v>99514</v>
      </c>
      <c r="D1908">
        <v>783</v>
      </c>
      <c r="E1908">
        <v>3079</v>
      </c>
      <c r="F1908">
        <v>18</v>
      </c>
      <c r="G1908">
        <v>90</v>
      </c>
      <c r="H1908" t="b">
        <v>1</v>
      </c>
      <c r="I1908">
        <f t="shared" si="58"/>
        <v>1</v>
      </c>
      <c r="J1908" t="str">
        <f t="shared" si="59"/>
        <v>751-850 (Excellent)</v>
      </c>
      <c r="K1908" s="1"/>
    </row>
    <row r="1909" spans="1:11" x14ac:dyDescent="0.35">
      <c r="A1909" t="s">
        <v>2565</v>
      </c>
      <c r="B1909" t="s">
        <v>2566</v>
      </c>
      <c r="C1909">
        <v>120266</v>
      </c>
      <c r="D1909">
        <v>567</v>
      </c>
      <c r="E1909">
        <v>3060</v>
      </c>
      <c r="F1909">
        <v>7</v>
      </c>
      <c r="G1909">
        <v>55</v>
      </c>
      <c r="H1909" t="b">
        <v>0</v>
      </c>
      <c r="I1909">
        <f t="shared" si="58"/>
        <v>0</v>
      </c>
      <c r="J1909" t="str">
        <f t="shared" si="59"/>
        <v>451-600 (Fair)</v>
      </c>
      <c r="K1909" s="1"/>
    </row>
    <row r="1910" spans="1:11" x14ac:dyDescent="0.35">
      <c r="A1910" t="s">
        <v>3267</v>
      </c>
      <c r="B1910" t="s">
        <v>1734</v>
      </c>
      <c r="C1910">
        <v>148349</v>
      </c>
      <c r="D1910">
        <v>350</v>
      </c>
      <c r="E1910">
        <v>3056</v>
      </c>
      <c r="F1910">
        <v>16</v>
      </c>
      <c r="G1910">
        <v>60</v>
      </c>
      <c r="H1910" t="b">
        <v>1</v>
      </c>
      <c r="I1910">
        <f t="shared" si="58"/>
        <v>1</v>
      </c>
      <c r="J1910" t="str">
        <f t="shared" si="59"/>
        <v>300-450 (Poor)</v>
      </c>
      <c r="K1910" s="1"/>
    </row>
    <row r="1911" spans="1:11" x14ac:dyDescent="0.35">
      <c r="A1911" t="s">
        <v>3060</v>
      </c>
      <c r="B1911" t="s">
        <v>3061</v>
      </c>
      <c r="C1911">
        <v>112727</v>
      </c>
      <c r="D1911">
        <v>300</v>
      </c>
      <c r="E1911">
        <v>3044</v>
      </c>
      <c r="F1911">
        <v>39</v>
      </c>
      <c r="G1911">
        <v>60</v>
      </c>
      <c r="H1911" t="b">
        <v>1</v>
      </c>
      <c r="I1911">
        <f t="shared" si="58"/>
        <v>1</v>
      </c>
      <c r="J1911" t="str">
        <f t="shared" si="59"/>
        <v>300-450 (Poor)</v>
      </c>
      <c r="K1911" s="1"/>
    </row>
    <row r="1912" spans="1:11" x14ac:dyDescent="0.35">
      <c r="A1912" t="s">
        <v>3841</v>
      </c>
      <c r="B1912" t="s">
        <v>3842</v>
      </c>
      <c r="C1912">
        <v>130789</v>
      </c>
      <c r="D1912">
        <v>811</v>
      </c>
      <c r="E1912">
        <v>2971</v>
      </c>
      <c r="F1912">
        <v>25</v>
      </c>
      <c r="G1912">
        <v>100</v>
      </c>
      <c r="H1912" t="b">
        <v>1</v>
      </c>
      <c r="I1912">
        <f t="shared" si="58"/>
        <v>1</v>
      </c>
      <c r="J1912" t="str">
        <f t="shared" si="59"/>
        <v>751-850 (Excellent)</v>
      </c>
      <c r="K1912" s="1"/>
    </row>
    <row r="1913" spans="1:11" x14ac:dyDescent="0.35">
      <c r="A1913" t="s">
        <v>3303</v>
      </c>
      <c r="B1913" t="s">
        <v>3304</v>
      </c>
      <c r="C1913">
        <v>139882</v>
      </c>
      <c r="D1913">
        <v>659</v>
      </c>
      <c r="E1913">
        <v>2952</v>
      </c>
      <c r="F1913">
        <v>21</v>
      </c>
      <c r="G1913">
        <v>75</v>
      </c>
      <c r="H1913" t="b">
        <v>1</v>
      </c>
      <c r="I1913">
        <f t="shared" si="58"/>
        <v>1</v>
      </c>
      <c r="J1913" t="str">
        <f t="shared" si="59"/>
        <v>601-750 (Good)</v>
      </c>
      <c r="K1913" s="1"/>
    </row>
    <row r="1914" spans="1:11" x14ac:dyDescent="0.35">
      <c r="A1914" t="s">
        <v>1646</v>
      </c>
      <c r="B1914" t="s">
        <v>1647</v>
      </c>
      <c r="C1914">
        <v>63972</v>
      </c>
      <c r="D1914">
        <v>670</v>
      </c>
      <c r="E1914">
        <v>2950</v>
      </c>
      <c r="F1914">
        <v>28</v>
      </c>
      <c r="G1914">
        <v>75</v>
      </c>
      <c r="H1914" t="b">
        <v>1</v>
      </c>
      <c r="I1914">
        <f t="shared" si="58"/>
        <v>1</v>
      </c>
      <c r="J1914" t="str">
        <f t="shared" si="59"/>
        <v>601-750 (Good)</v>
      </c>
      <c r="K1914" s="1"/>
    </row>
    <row r="1915" spans="1:11" x14ac:dyDescent="0.35">
      <c r="A1915" t="s">
        <v>3706</v>
      </c>
      <c r="B1915" t="s">
        <v>3707</v>
      </c>
      <c r="C1915">
        <v>64782</v>
      </c>
      <c r="D1915">
        <v>808</v>
      </c>
      <c r="E1915">
        <v>2945</v>
      </c>
      <c r="F1915">
        <v>13</v>
      </c>
      <c r="G1915">
        <v>90</v>
      </c>
      <c r="H1915" t="b">
        <v>1</v>
      </c>
      <c r="I1915">
        <f t="shared" si="58"/>
        <v>1</v>
      </c>
      <c r="J1915" t="str">
        <f t="shared" si="59"/>
        <v>751-850 (Excellent)</v>
      </c>
      <c r="K1915" s="1"/>
    </row>
    <row r="1916" spans="1:11" x14ac:dyDescent="0.35">
      <c r="A1916" t="s">
        <v>536</v>
      </c>
      <c r="B1916" t="s">
        <v>537</v>
      </c>
      <c r="C1916">
        <v>51643</v>
      </c>
      <c r="D1916">
        <v>634</v>
      </c>
      <c r="E1916">
        <v>2941</v>
      </c>
      <c r="F1916">
        <v>40</v>
      </c>
      <c r="G1916">
        <v>65</v>
      </c>
      <c r="H1916" t="b">
        <v>1</v>
      </c>
      <c r="I1916">
        <f t="shared" si="58"/>
        <v>1</v>
      </c>
      <c r="J1916" t="str">
        <f t="shared" si="59"/>
        <v>601-750 (Good)</v>
      </c>
      <c r="K1916" s="1"/>
    </row>
    <row r="1917" spans="1:11" x14ac:dyDescent="0.35">
      <c r="A1917" t="s">
        <v>3505</v>
      </c>
      <c r="B1917" t="s">
        <v>3506</v>
      </c>
      <c r="C1917">
        <v>42739</v>
      </c>
      <c r="D1917">
        <v>341</v>
      </c>
      <c r="E1917">
        <v>2930</v>
      </c>
      <c r="F1917">
        <v>10</v>
      </c>
      <c r="G1917">
        <v>40</v>
      </c>
      <c r="H1917" t="b">
        <v>0</v>
      </c>
      <c r="I1917">
        <f t="shared" si="58"/>
        <v>0</v>
      </c>
      <c r="J1917" t="str">
        <f t="shared" si="59"/>
        <v>300-450 (Poor)</v>
      </c>
      <c r="K1917" s="1"/>
    </row>
    <row r="1918" spans="1:11" x14ac:dyDescent="0.35">
      <c r="A1918" t="s">
        <v>3454</v>
      </c>
      <c r="B1918" t="s">
        <v>3455</v>
      </c>
      <c r="C1918">
        <v>44201</v>
      </c>
      <c r="D1918">
        <v>327</v>
      </c>
      <c r="E1918">
        <v>2926</v>
      </c>
      <c r="F1918">
        <v>37</v>
      </c>
      <c r="G1918">
        <v>40</v>
      </c>
      <c r="H1918" t="b">
        <v>0</v>
      </c>
      <c r="I1918">
        <f t="shared" si="58"/>
        <v>0</v>
      </c>
      <c r="J1918" t="str">
        <f t="shared" si="59"/>
        <v>300-450 (Poor)</v>
      </c>
      <c r="K1918" s="1"/>
    </row>
    <row r="1919" spans="1:11" x14ac:dyDescent="0.35">
      <c r="A1919" t="s">
        <v>3631</v>
      </c>
      <c r="B1919" t="s">
        <v>3632</v>
      </c>
      <c r="C1919">
        <v>38992</v>
      </c>
      <c r="D1919">
        <v>490</v>
      </c>
      <c r="E1919">
        <v>2918</v>
      </c>
      <c r="F1919">
        <v>20</v>
      </c>
      <c r="G1919">
        <v>40</v>
      </c>
      <c r="H1919" t="b">
        <v>0</v>
      </c>
      <c r="I1919">
        <f t="shared" si="58"/>
        <v>0</v>
      </c>
      <c r="J1919" t="str">
        <f t="shared" si="59"/>
        <v>451-600 (Fair)</v>
      </c>
      <c r="K1919" s="1"/>
    </row>
    <row r="1920" spans="1:11" x14ac:dyDescent="0.35">
      <c r="A1920" t="s">
        <v>199</v>
      </c>
      <c r="B1920" t="s">
        <v>200</v>
      </c>
      <c r="C1920">
        <v>89429</v>
      </c>
      <c r="D1920">
        <v>424</v>
      </c>
      <c r="E1920">
        <v>2891</v>
      </c>
      <c r="F1920">
        <v>40</v>
      </c>
      <c r="G1920">
        <v>55</v>
      </c>
      <c r="H1920" t="b">
        <v>0</v>
      </c>
      <c r="I1920">
        <f t="shared" si="58"/>
        <v>0</v>
      </c>
      <c r="J1920" t="str">
        <f t="shared" si="59"/>
        <v>300-450 (Poor)</v>
      </c>
      <c r="K1920" s="1"/>
    </row>
    <row r="1921" spans="1:11" x14ac:dyDescent="0.35">
      <c r="A1921" t="s">
        <v>2760</v>
      </c>
      <c r="B1921" t="s">
        <v>2761</v>
      </c>
      <c r="C1921">
        <v>145454</v>
      </c>
      <c r="D1921">
        <v>639</v>
      </c>
      <c r="E1921">
        <v>2867</v>
      </c>
      <c r="F1921">
        <v>30</v>
      </c>
      <c r="G1921">
        <v>75</v>
      </c>
      <c r="H1921" t="b">
        <v>1</v>
      </c>
      <c r="I1921">
        <f t="shared" si="58"/>
        <v>1</v>
      </c>
      <c r="J1921" t="str">
        <f t="shared" si="59"/>
        <v>601-750 (Good)</v>
      </c>
      <c r="K1921" s="1"/>
    </row>
    <row r="1922" spans="1:11" x14ac:dyDescent="0.35">
      <c r="A1922" t="s">
        <v>3766</v>
      </c>
      <c r="B1922" t="s">
        <v>3767</v>
      </c>
      <c r="C1922">
        <v>141057</v>
      </c>
      <c r="D1922">
        <v>580</v>
      </c>
      <c r="E1922">
        <v>2851</v>
      </c>
      <c r="F1922">
        <v>36</v>
      </c>
      <c r="G1922">
        <v>75</v>
      </c>
      <c r="H1922" t="b">
        <v>1</v>
      </c>
      <c r="I1922">
        <f t="shared" si="58"/>
        <v>1</v>
      </c>
      <c r="J1922" t="str">
        <f t="shared" si="59"/>
        <v>451-600 (Fair)</v>
      </c>
      <c r="K1922" s="1"/>
    </row>
    <row r="1923" spans="1:11" x14ac:dyDescent="0.35">
      <c r="A1923" t="s">
        <v>2385</v>
      </c>
      <c r="B1923" t="s">
        <v>2386</v>
      </c>
      <c r="C1923">
        <v>136318</v>
      </c>
      <c r="D1923">
        <v>521</v>
      </c>
      <c r="E1923">
        <v>2792</v>
      </c>
      <c r="F1923">
        <v>21</v>
      </c>
      <c r="G1923">
        <v>60</v>
      </c>
      <c r="H1923" t="b">
        <v>1</v>
      </c>
      <c r="I1923">
        <f t="shared" si="58"/>
        <v>1</v>
      </c>
      <c r="J1923" t="str">
        <f t="shared" si="59"/>
        <v>451-600 (Fair)</v>
      </c>
      <c r="K1923" s="1"/>
    </row>
    <row r="1924" spans="1:11" x14ac:dyDescent="0.35">
      <c r="A1924" t="s">
        <v>3101</v>
      </c>
      <c r="B1924" t="s">
        <v>3102</v>
      </c>
      <c r="C1924">
        <v>134352</v>
      </c>
      <c r="D1924">
        <v>802</v>
      </c>
      <c r="E1924">
        <v>2790</v>
      </c>
      <c r="F1924">
        <v>24</v>
      </c>
      <c r="G1924">
        <v>100</v>
      </c>
      <c r="H1924" t="b">
        <v>1</v>
      </c>
      <c r="I1924">
        <f t="shared" ref="I1924:I1987" si="60">--H1924</f>
        <v>1</v>
      </c>
      <c r="J1924" t="str">
        <f t="shared" ref="J1924:J1987" si="61">IF(D1924&gt;750, "751-850 (Excellent)", IF(D1924&gt;600, "601-750 (Good)", IF(D1924&gt;450, "451-600 (Fair)", "300-450 (Poor)")))</f>
        <v>751-850 (Excellent)</v>
      </c>
      <c r="K1924" s="1"/>
    </row>
    <row r="1925" spans="1:11" x14ac:dyDescent="0.35">
      <c r="A1925" t="s">
        <v>1424</v>
      </c>
      <c r="B1925" t="s">
        <v>1425</v>
      </c>
      <c r="C1925">
        <v>83225</v>
      </c>
      <c r="D1925">
        <v>529</v>
      </c>
      <c r="E1925">
        <v>2758</v>
      </c>
      <c r="F1925">
        <v>0</v>
      </c>
      <c r="G1925">
        <v>40</v>
      </c>
      <c r="H1925" t="b">
        <v>0</v>
      </c>
      <c r="I1925">
        <f t="shared" si="60"/>
        <v>0</v>
      </c>
      <c r="J1925" t="str">
        <f t="shared" si="61"/>
        <v>451-600 (Fair)</v>
      </c>
      <c r="K1925" s="1"/>
    </row>
    <row r="1926" spans="1:11" x14ac:dyDescent="0.35">
      <c r="A1926" t="s">
        <v>337</v>
      </c>
      <c r="B1926" t="s">
        <v>338</v>
      </c>
      <c r="C1926">
        <v>82350</v>
      </c>
      <c r="D1926">
        <v>657</v>
      </c>
      <c r="E1926">
        <v>2747</v>
      </c>
      <c r="F1926">
        <v>26</v>
      </c>
      <c r="G1926">
        <v>70</v>
      </c>
      <c r="H1926" t="b">
        <v>1</v>
      </c>
      <c r="I1926">
        <f t="shared" si="60"/>
        <v>1</v>
      </c>
      <c r="J1926" t="str">
        <f t="shared" si="61"/>
        <v>601-750 (Good)</v>
      </c>
      <c r="K1926" s="1"/>
    </row>
    <row r="1927" spans="1:11" x14ac:dyDescent="0.35">
      <c r="A1927" t="s">
        <v>3561</v>
      </c>
      <c r="B1927" t="s">
        <v>3562</v>
      </c>
      <c r="C1927">
        <v>58477</v>
      </c>
      <c r="D1927">
        <v>491</v>
      </c>
      <c r="E1927">
        <v>2718</v>
      </c>
      <c r="F1927">
        <v>39</v>
      </c>
      <c r="G1927">
        <v>50</v>
      </c>
      <c r="H1927" t="b">
        <v>0</v>
      </c>
      <c r="I1927">
        <f t="shared" si="60"/>
        <v>0</v>
      </c>
      <c r="J1927" t="str">
        <f t="shared" si="61"/>
        <v>451-600 (Fair)</v>
      </c>
      <c r="K1927" s="1"/>
    </row>
    <row r="1928" spans="1:11" x14ac:dyDescent="0.35">
      <c r="A1928" t="s">
        <v>1911</v>
      </c>
      <c r="B1928" t="s">
        <v>1912</v>
      </c>
      <c r="C1928">
        <v>34067</v>
      </c>
      <c r="D1928">
        <v>442</v>
      </c>
      <c r="E1928">
        <v>2682</v>
      </c>
      <c r="F1928">
        <v>38</v>
      </c>
      <c r="G1928">
        <v>40</v>
      </c>
      <c r="H1928" t="b">
        <v>0</v>
      </c>
      <c r="I1928">
        <f t="shared" si="60"/>
        <v>0</v>
      </c>
      <c r="J1928" t="str">
        <f t="shared" si="61"/>
        <v>300-450 (Poor)</v>
      </c>
      <c r="K1928" s="1"/>
    </row>
    <row r="1929" spans="1:11" x14ac:dyDescent="0.35">
      <c r="A1929" t="s">
        <v>3583</v>
      </c>
      <c r="B1929" t="s">
        <v>3584</v>
      </c>
      <c r="C1929">
        <v>114518</v>
      </c>
      <c r="D1929">
        <v>674</v>
      </c>
      <c r="E1929">
        <v>2681</v>
      </c>
      <c r="F1929">
        <v>31</v>
      </c>
      <c r="G1929">
        <v>85</v>
      </c>
      <c r="H1929" t="b">
        <v>1</v>
      </c>
      <c r="I1929">
        <f t="shared" si="60"/>
        <v>1</v>
      </c>
      <c r="J1929" t="str">
        <f t="shared" si="61"/>
        <v>601-750 (Good)</v>
      </c>
      <c r="K1929" s="1"/>
    </row>
    <row r="1930" spans="1:11" x14ac:dyDescent="0.35">
      <c r="A1930" t="s">
        <v>3752</v>
      </c>
      <c r="B1930" t="s">
        <v>27</v>
      </c>
      <c r="C1930">
        <v>143636</v>
      </c>
      <c r="D1930">
        <v>739</v>
      </c>
      <c r="E1930">
        <v>2679</v>
      </c>
      <c r="F1930">
        <v>17</v>
      </c>
      <c r="G1930">
        <v>85</v>
      </c>
      <c r="H1930" t="b">
        <v>1</v>
      </c>
      <c r="I1930">
        <f t="shared" si="60"/>
        <v>1</v>
      </c>
      <c r="J1930" t="str">
        <f t="shared" si="61"/>
        <v>601-750 (Good)</v>
      </c>
      <c r="K1930" s="1"/>
    </row>
    <row r="1931" spans="1:11" x14ac:dyDescent="0.35">
      <c r="A1931" t="s">
        <v>3180</v>
      </c>
      <c r="B1931" t="s">
        <v>3181</v>
      </c>
      <c r="C1931">
        <v>101643</v>
      </c>
      <c r="D1931">
        <v>780</v>
      </c>
      <c r="E1931">
        <v>2590</v>
      </c>
      <c r="F1931">
        <v>36</v>
      </c>
      <c r="G1931">
        <v>95</v>
      </c>
      <c r="H1931" t="b">
        <v>1</v>
      </c>
      <c r="I1931">
        <f t="shared" si="60"/>
        <v>1</v>
      </c>
      <c r="J1931" t="str">
        <f t="shared" si="61"/>
        <v>751-850 (Excellent)</v>
      </c>
      <c r="K1931" s="1"/>
    </row>
    <row r="1932" spans="1:11" x14ac:dyDescent="0.35">
      <c r="A1932" t="s">
        <v>2482</v>
      </c>
      <c r="B1932" t="s">
        <v>2483</v>
      </c>
      <c r="C1932">
        <v>68175</v>
      </c>
      <c r="D1932">
        <v>608</v>
      </c>
      <c r="E1932">
        <v>2588</v>
      </c>
      <c r="F1932">
        <v>14</v>
      </c>
      <c r="G1932">
        <v>65</v>
      </c>
      <c r="H1932" t="b">
        <v>1</v>
      </c>
      <c r="I1932">
        <f t="shared" si="60"/>
        <v>1</v>
      </c>
      <c r="J1932" t="str">
        <f t="shared" si="61"/>
        <v>601-750 (Good)</v>
      </c>
      <c r="K1932" s="1"/>
    </row>
    <row r="1933" spans="1:11" x14ac:dyDescent="0.35">
      <c r="A1933" t="s">
        <v>2604</v>
      </c>
      <c r="B1933" t="s">
        <v>2605</v>
      </c>
      <c r="C1933">
        <v>118381</v>
      </c>
      <c r="D1933">
        <v>603</v>
      </c>
      <c r="E1933">
        <v>2542</v>
      </c>
      <c r="F1933">
        <v>34</v>
      </c>
      <c r="G1933">
        <v>75</v>
      </c>
      <c r="H1933" t="b">
        <v>1</v>
      </c>
      <c r="I1933">
        <f t="shared" si="60"/>
        <v>1</v>
      </c>
      <c r="J1933" t="str">
        <f t="shared" si="61"/>
        <v>601-750 (Good)</v>
      </c>
      <c r="K1933" s="1"/>
    </row>
    <row r="1934" spans="1:11" x14ac:dyDescent="0.35">
      <c r="A1934" t="s">
        <v>3657</v>
      </c>
      <c r="B1934" t="s">
        <v>1417</v>
      </c>
      <c r="C1934">
        <v>133369</v>
      </c>
      <c r="D1934">
        <v>395</v>
      </c>
      <c r="E1934">
        <v>2496</v>
      </c>
      <c r="F1934">
        <v>9</v>
      </c>
      <c r="G1934">
        <v>55</v>
      </c>
      <c r="H1934" t="b">
        <v>0</v>
      </c>
      <c r="I1934">
        <f t="shared" si="60"/>
        <v>0</v>
      </c>
      <c r="J1934" t="str">
        <f t="shared" si="61"/>
        <v>300-450 (Poor)</v>
      </c>
      <c r="K1934" s="1"/>
    </row>
    <row r="1935" spans="1:11" x14ac:dyDescent="0.35">
      <c r="A1935" t="s">
        <v>2348</v>
      </c>
      <c r="B1935" t="s">
        <v>2349</v>
      </c>
      <c r="C1935">
        <v>87733</v>
      </c>
      <c r="D1935">
        <v>638</v>
      </c>
      <c r="E1935">
        <v>2477</v>
      </c>
      <c r="F1935">
        <v>14</v>
      </c>
      <c r="G1935">
        <v>70</v>
      </c>
      <c r="H1935" t="b">
        <v>1</v>
      </c>
      <c r="I1935">
        <f t="shared" si="60"/>
        <v>1</v>
      </c>
      <c r="J1935" t="str">
        <f t="shared" si="61"/>
        <v>601-750 (Good)</v>
      </c>
      <c r="K1935" s="1"/>
    </row>
    <row r="1936" spans="1:11" x14ac:dyDescent="0.35">
      <c r="A1936" t="s">
        <v>3733</v>
      </c>
      <c r="B1936" t="s">
        <v>3730</v>
      </c>
      <c r="C1936">
        <v>107812</v>
      </c>
      <c r="D1936">
        <v>755</v>
      </c>
      <c r="E1936">
        <v>2468</v>
      </c>
      <c r="F1936">
        <v>34</v>
      </c>
      <c r="G1936">
        <v>95</v>
      </c>
      <c r="H1936" t="b">
        <v>1</v>
      </c>
      <c r="I1936">
        <f t="shared" si="60"/>
        <v>1</v>
      </c>
      <c r="J1936" t="str">
        <f t="shared" si="61"/>
        <v>751-850 (Excellent)</v>
      </c>
      <c r="K1936" s="1"/>
    </row>
    <row r="1937" spans="1:11" x14ac:dyDescent="0.35">
      <c r="A1937" t="s">
        <v>2360</v>
      </c>
      <c r="B1937" t="s">
        <v>2361</v>
      </c>
      <c r="C1937">
        <v>92616</v>
      </c>
      <c r="D1937">
        <v>533</v>
      </c>
      <c r="E1937">
        <v>2405</v>
      </c>
      <c r="F1937">
        <v>3</v>
      </c>
      <c r="G1937">
        <v>45</v>
      </c>
      <c r="H1937" t="b">
        <v>0</v>
      </c>
      <c r="I1937">
        <f t="shared" si="60"/>
        <v>0</v>
      </c>
      <c r="J1937" t="str">
        <f t="shared" si="61"/>
        <v>451-600 (Fair)</v>
      </c>
      <c r="K1937" s="1"/>
    </row>
    <row r="1938" spans="1:11" x14ac:dyDescent="0.35">
      <c r="A1938" t="s">
        <v>1070</v>
      </c>
      <c r="B1938" t="s">
        <v>1071</v>
      </c>
      <c r="C1938">
        <v>73719</v>
      </c>
      <c r="D1938">
        <v>497</v>
      </c>
      <c r="E1938">
        <v>2399</v>
      </c>
      <c r="F1938">
        <v>24</v>
      </c>
      <c r="G1938">
        <v>50</v>
      </c>
      <c r="H1938" t="b">
        <v>0</v>
      </c>
      <c r="I1938">
        <f t="shared" si="60"/>
        <v>0</v>
      </c>
      <c r="J1938" t="str">
        <f t="shared" si="61"/>
        <v>451-600 (Fair)</v>
      </c>
      <c r="K1938" s="1"/>
    </row>
    <row r="1939" spans="1:11" x14ac:dyDescent="0.35">
      <c r="A1939" t="s">
        <v>3182</v>
      </c>
      <c r="B1939" t="s">
        <v>3183</v>
      </c>
      <c r="C1939">
        <v>50706</v>
      </c>
      <c r="D1939">
        <v>690</v>
      </c>
      <c r="E1939">
        <v>2343</v>
      </c>
      <c r="F1939">
        <v>31</v>
      </c>
      <c r="G1939">
        <v>75</v>
      </c>
      <c r="H1939" t="b">
        <v>1</v>
      </c>
      <c r="I1939">
        <f t="shared" si="60"/>
        <v>1</v>
      </c>
      <c r="J1939" t="str">
        <f t="shared" si="61"/>
        <v>601-750 (Good)</v>
      </c>
      <c r="K1939" s="1"/>
    </row>
    <row r="1940" spans="1:11" x14ac:dyDescent="0.35">
      <c r="A1940" t="s">
        <v>2953</v>
      </c>
      <c r="B1940" t="s">
        <v>2954</v>
      </c>
      <c r="C1940">
        <v>116991</v>
      </c>
      <c r="D1940">
        <v>474</v>
      </c>
      <c r="E1940">
        <v>2307</v>
      </c>
      <c r="F1940">
        <v>37</v>
      </c>
      <c r="G1940">
        <v>60</v>
      </c>
      <c r="H1940" t="b">
        <v>1</v>
      </c>
      <c r="I1940">
        <f t="shared" si="60"/>
        <v>1</v>
      </c>
      <c r="J1940" t="str">
        <f t="shared" si="61"/>
        <v>451-600 (Fair)</v>
      </c>
      <c r="K1940" s="1"/>
    </row>
    <row r="1941" spans="1:11" x14ac:dyDescent="0.35">
      <c r="A1941" t="s">
        <v>1619</v>
      </c>
      <c r="B1941" t="s">
        <v>1620</v>
      </c>
      <c r="C1941">
        <v>124276</v>
      </c>
      <c r="D1941">
        <v>840</v>
      </c>
      <c r="E1941">
        <v>2246</v>
      </c>
      <c r="F1941">
        <v>27</v>
      </c>
      <c r="G1941">
        <v>100</v>
      </c>
      <c r="H1941" t="b">
        <v>1</v>
      </c>
      <c r="I1941">
        <f t="shared" si="60"/>
        <v>1</v>
      </c>
      <c r="J1941" t="str">
        <f t="shared" si="61"/>
        <v>751-850 (Excellent)</v>
      </c>
      <c r="K1941" s="1"/>
    </row>
    <row r="1942" spans="1:11" x14ac:dyDescent="0.35">
      <c r="A1942" t="s">
        <v>2381</v>
      </c>
      <c r="B1942" t="s">
        <v>2382</v>
      </c>
      <c r="C1942">
        <v>49887</v>
      </c>
      <c r="D1942">
        <v>807</v>
      </c>
      <c r="E1942">
        <v>2235</v>
      </c>
      <c r="F1942">
        <v>24</v>
      </c>
      <c r="G1942">
        <v>80</v>
      </c>
      <c r="H1942" t="b">
        <v>1</v>
      </c>
      <c r="I1942">
        <f t="shared" si="60"/>
        <v>1</v>
      </c>
      <c r="J1942" t="str">
        <f t="shared" si="61"/>
        <v>751-850 (Excellent)</v>
      </c>
      <c r="K1942" s="1"/>
    </row>
    <row r="1943" spans="1:11" x14ac:dyDescent="0.35">
      <c r="A1943" t="s">
        <v>293</v>
      </c>
      <c r="B1943" t="s">
        <v>294</v>
      </c>
      <c r="C1943">
        <v>71245</v>
      </c>
      <c r="D1943">
        <v>746</v>
      </c>
      <c r="E1943">
        <v>2228</v>
      </c>
      <c r="F1943">
        <v>29</v>
      </c>
      <c r="G1943">
        <v>85</v>
      </c>
      <c r="H1943" t="b">
        <v>1</v>
      </c>
      <c r="I1943">
        <f t="shared" si="60"/>
        <v>1</v>
      </c>
      <c r="J1943" t="str">
        <f t="shared" si="61"/>
        <v>601-750 (Good)</v>
      </c>
      <c r="K1943" s="1"/>
    </row>
    <row r="1944" spans="1:11" x14ac:dyDescent="0.35">
      <c r="A1944" t="s">
        <v>1505</v>
      </c>
      <c r="B1944" t="s">
        <v>1506</v>
      </c>
      <c r="C1944">
        <v>56100</v>
      </c>
      <c r="D1944">
        <v>484</v>
      </c>
      <c r="E1944">
        <v>2219</v>
      </c>
      <c r="F1944">
        <v>40</v>
      </c>
      <c r="G1944">
        <v>50</v>
      </c>
      <c r="H1944" t="b">
        <v>0</v>
      </c>
      <c r="I1944">
        <f t="shared" si="60"/>
        <v>0</v>
      </c>
      <c r="J1944" t="str">
        <f t="shared" si="61"/>
        <v>451-600 (Fair)</v>
      </c>
      <c r="K1944" s="1"/>
    </row>
    <row r="1945" spans="1:11" x14ac:dyDescent="0.35">
      <c r="A1945" t="s">
        <v>321</v>
      </c>
      <c r="B1945" t="s">
        <v>322</v>
      </c>
      <c r="C1945">
        <v>103579</v>
      </c>
      <c r="D1945">
        <v>670</v>
      </c>
      <c r="E1945">
        <v>2194</v>
      </c>
      <c r="F1945">
        <v>23</v>
      </c>
      <c r="G1945">
        <v>85</v>
      </c>
      <c r="H1945" t="b">
        <v>1</v>
      </c>
      <c r="I1945">
        <f t="shared" si="60"/>
        <v>1</v>
      </c>
      <c r="J1945" t="str">
        <f t="shared" si="61"/>
        <v>601-750 (Good)</v>
      </c>
      <c r="K1945" s="1"/>
    </row>
    <row r="1946" spans="1:11" x14ac:dyDescent="0.35">
      <c r="A1946" t="s">
        <v>805</v>
      </c>
      <c r="B1946" t="s">
        <v>806</v>
      </c>
      <c r="C1946">
        <v>102845</v>
      </c>
      <c r="D1946">
        <v>495</v>
      </c>
      <c r="E1946">
        <v>2174</v>
      </c>
      <c r="F1946">
        <v>0</v>
      </c>
      <c r="G1946">
        <v>45</v>
      </c>
      <c r="H1946" t="b">
        <v>0</v>
      </c>
      <c r="I1946">
        <f t="shared" si="60"/>
        <v>0</v>
      </c>
      <c r="J1946" t="str">
        <f t="shared" si="61"/>
        <v>451-600 (Fair)</v>
      </c>
      <c r="K1946" s="1"/>
    </row>
    <row r="1947" spans="1:11" x14ac:dyDescent="0.35">
      <c r="A1947" t="s">
        <v>3008</v>
      </c>
      <c r="B1947" t="s">
        <v>3009</v>
      </c>
      <c r="C1947">
        <v>132436</v>
      </c>
      <c r="D1947">
        <v>364</v>
      </c>
      <c r="E1947">
        <v>2160</v>
      </c>
      <c r="F1947">
        <v>28</v>
      </c>
      <c r="G1947">
        <v>60</v>
      </c>
      <c r="H1947" t="b">
        <v>1</v>
      </c>
      <c r="I1947">
        <f t="shared" si="60"/>
        <v>1</v>
      </c>
      <c r="J1947" t="str">
        <f t="shared" si="61"/>
        <v>300-450 (Poor)</v>
      </c>
      <c r="K1947" s="1"/>
    </row>
    <row r="1948" spans="1:11" x14ac:dyDescent="0.35">
      <c r="A1948" t="s">
        <v>3653</v>
      </c>
      <c r="B1948" t="s">
        <v>3654</v>
      </c>
      <c r="C1948">
        <v>131498</v>
      </c>
      <c r="D1948">
        <v>506</v>
      </c>
      <c r="E1948">
        <v>2136</v>
      </c>
      <c r="F1948">
        <v>17</v>
      </c>
      <c r="G1948">
        <v>60</v>
      </c>
      <c r="H1948" t="b">
        <v>1</v>
      </c>
      <c r="I1948">
        <f t="shared" si="60"/>
        <v>1</v>
      </c>
      <c r="J1948" t="str">
        <f t="shared" si="61"/>
        <v>451-600 (Fair)</v>
      </c>
      <c r="K1948" s="1"/>
    </row>
    <row r="1949" spans="1:11" x14ac:dyDescent="0.35">
      <c r="A1949" t="s">
        <v>3029</v>
      </c>
      <c r="B1949" t="s">
        <v>3030</v>
      </c>
      <c r="C1949">
        <v>118389</v>
      </c>
      <c r="D1949">
        <v>630</v>
      </c>
      <c r="E1949">
        <v>2111</v>
      </c>
      <c r="F1949">
        <v>7</v>
      </c>
      <c r="G1949">
        <v>70</v>
      </c>
      <c r="H1949" t="b">
        <v>1</v>
      </c>
      <c r="I1949">
        <f t="shared" si="60"/>
        <v>1</v>
      </c>
      <c r="J1949" t="str">
        <f t="shared" si="61"/>
        <v>601-750 (Good)</v>
      </c>
      <c r="K1949" s="1"/>
    </row>
    <row r="1950" spans="1:11" x14ac:dyDescent="0.35">
      <c r="A1950" t="s">
        <v>1336</v>
      </c>
      <c r="B1950" t="s">
        <v>1337</v>
      </c>
      <c r="C1950">
        <v>30221</v>
      </c>
      <c r="D1950">
        <v>461</v>
      </c>
      <c r="E1950">
        <v>2024</v>
      </c>
      <c r="F1950">
        <v>31</v>
      </c>
      <c r="G1950">
        <v>40</v>
      </c>
      <c r="H1950" t="b">
        <v>0</v>
      </c>
      <c r="I1950">
        <f t="shared" si="60"/>
        <v>0</v>
      </c>
      <c r="J1950" t="str">
        <f t="shared" si="61"/>
        <v>451-600 (Fair)</v>
      </c>
      <c r="K1950" s="1"/>
    </row>
    <row r="1951" spans="1:11" x14ac:dyDescent="0.35">
      <c r="A1951" t="s">
        <v>3547</v>
      </c>
      <c r="B1951" t="s">
        <v>3548</v>
      </c>
      <c r="C1951">
        <v>94139</v>
      </c>
      <c r="D1951">
        <v>674</v>
      </c>
      <c r="E1951">
        <v>1972</v>
      </c>
      <c r="F1951">
        <v>21</v>
      </c>
      <c r="G1951">
        <v>80</v>
      </c>
      <c r="H1951" t="b">
        <v>1</v>
      </c>
      <c r="I1951">
        <f t="shared" si="60"/>
        <v>1</v>
      </c>
      <c r="J1951" t="str">
        <f t="shared" si="61"/>
        <v>601-750 (Good)</v>
      </c>
      <c r="K1951" s="1"/>
    </row>
    <row r="1952" spans="1:11" x14ac:dyDescent="0.35">
      <c r="A1952" t="s">
        <v>2156</v>
      </c>
      <c r="B1952" t="s">
        <v>2157</v>
      </c>
      <c r="C1952">
        <v>121905</v>
      </c>
      <c r="D1952">
        <v>624</v>
      </c>
      <c r="E1952">
        <v>1929</v>
      </c>
      <c r="F1952">
        <v>9</v>
      </c>
      <c r="G1952">
        <v>70</v>
      </c>
      <c r="H1952" t="b">
        <v>1</v>
      </c>
      <c r="I1952">
        <f t="shared" si="60"/>
        <v>1</v>
      </c>
      <c r="J1952" t="str">
        <f t="shared" si="61"/>
        <v>601-750 (Good)</v>
      </c>
      <c r="K1952" s="1"/>
    </row>
    <row r="1953" spans="1:11" x14ac:dyDescent="0.35">
      <c r="A1953" t="s">
        <v>3350</v>
      </c>
      <c r="B1953" t="s">
        <v>3351</v>
      </c>
      <c r="C1953">
        <v>47322</v>
      </c>
      <c r="D1953">
        <v>736</v>
      </c>
      <c r="E1953">
        <v>1902</v>
      </c>
      <c r="F1953">
        <v>30</v>
      </c>
      <c r="G1953">
        <v>65</v>
      </c>
      <c r="H1953" t="b">
        <v>1</v>
      </c>
      <c r="I1953">
        <f t="shared" si="60"/>
        <v>1</v>
      </c>
      <c r="J1953" t="str">
        <f t="shared" si="61"/>
        <v>601-750 (Good)</v>
      </c>
      <c r="K1953" s="1"/>
    </row>
    <row r="1954" spans="1:11" x14ac:dyDescent="0.35">
      <c r="A1954" t="s">
        <v>1125</v>
      </c>
      <c r="B1954" t="s">
        <v>1126</v>
      </c>
      <c r="C1954">
        <v>35482</v>
      </c>
      <c r="D1954">
        <v>594</v>
      </c>
      <c r="E1954">
        <v>1900</v>
      </c>
      <c r="F1954">
        <v>21</v>
      </c>
      <c r="G1954">
        <v>55</v>
      </c>
      <c r="H1954" t="b">
        <v>0</v>
      </c>
      <c r="I1954">
        <f t="shared" si="60"/>
        <v>0</v>
      </c>
      <c r="J1954" t="str">
        <f t="shared" si="61"/>
        <v>451-600 (Fair)</v>
      </c>
      <c r="K1954" s="1"/>
    </row>
    <row r="1955" spans="1:11" x14ac:dyDescent="0.35">
      <c r="A1955" t="s">
        <v>881</v>
      </c>
      <c r="B1955" t="s">
        <v>882</v>
      </c>
      <c r="C1955">
        <v>62271</v>
      </c>
      <c r="D1955">
        <v>355</v>
      </c>
      <c r="E1955">
        <v>1849</v>
      </c>
      <c r="F1955">
        <v>16</v>
      </c>
      <c r="G1955">
        <v>50</v>
      </c>
      <c r="H1955" t="b">
        <v>0</v>
      </c>
      <c r="I1955">
        <f t="shared" si="60"/>
        <v>0</v>
      </c>
      <c r="J1955" t="str">
        <f t="shared" si="61"/>
        <v>300-450 (Poor)</v>
      </c>
      <c r="K1955" s="1"/>
    </row>
    <row r="1956" spans="1:11" x14ac:dyDescent="0.35">
      <c r="A1956" t="s">
        <v>1878</v>
      </c>
      <c r="B1956" t="s">
        <v>1879</v>
      </c>
      <c r="C1956">
        <v>85255</v>
      </c>
      <c r="D1956">
        <v>304</v>
      </c>
      <c r="E1956">
        <v>1841</v>
      </c>
      <c r="F1956">
        <v>32</v>
      </c>
      <c r="G1956">
        <v>55</v>
      </c>
      <c r="H1956" t="b">
        <v>0</v>
      </c>
      <c r="I1956">
        <f t="shared" si="60"/>
        <v>0</v>
      </c>
      <c r="J1956" t="str">
        <f t="shared" si="61"/>
        <v>300-450 (Poor)</v>
      </c>
      <c r="K1956" s="1"/>
    </row>
    <row r="1957" spans="1:11" x14ac:dyDescent="0.35">
      <c r="A1957" t="s">
        <v>1465</v>
      </c>
      <c r="B1957" t="s">
        <v>1466</v>
      </c>
      <c r="C1957">
        <v>148119</v>
      </c>
      <c r="D1957">
        <v>483</v>
      </c>
      <c r="E1957">
        <v>1837</v>
      </c>
      <c r="F1957">
        <v>31</v>
      </c>
      <c r="G1957">
        <v>60</v>
      </c>
      <c r="H1957" t="b">
        <v>1</v>
      </c>
      <c r="I1957">
        <f t="shared" si="60"/>
        <v>1</v>
      </c>
      <c r="J1957" t="str">
        <f t="shared" si="61"/>
        <v>451-600 (Fair)</v>
      </c>
      <c r="K1957" s="1"/>
    </row>
    <row r="1958" spans="1:11" x14ac:dyDescent="0.35">
      <c r="A1958" t="s">
        <v>651</v>
      </c>
      <c r="B1958" t="s">
        <v>652</v>
      </c>
      <c r="C1958">
        <v>61850</v>
      </c>
      <c r="D1958">
        <v>422</v>
      </c>
      <c r="E1958">
        <v>1830</v>
      </c>
      <c r="F1958">
        <v>8</v>
      </c>
      <c r="G1958">
        <v>45</v>
      </c>
      <c r="H1958" t="b">
        <v>0</v>
      </c>
      <c r="I1958">
        <f t="shared" si="60"/>
        <v>0</v>
      </c>
      <c r="J1958" t="str">
        <f t="shared" si="61"/>
        <v>300-450 (Poor)</v>
      </c>
      <c r="K1958" s="1"/>
    </row>
    <row r="1959" spans="1:11" x14ac:dyDescent="0.35">
      <c r="A1959" t="s">
        <v>2870</v>
      </c>
      <c r="B1959" t="s">
        <v>2871</v>
      </c>
      <c r="C1959">
        <v>65018</v>
      </c>
      <c r="D1959">
        <v>841</v>
      </c>
      <c r="E1959">
        <v>1824</v>
      </c>
      <c r="F1959">
        <v>0</v>
      </c>
      <c r="G1959">
        <v>75</v>
      </c>
      <c r="H1959" t="b">
        <v>1</v>
      </c>
      <c r="I1959">
        <f t="shared" si="60"/>
        <v>1</v>
      </c>
      <c r="J1959" t="str">
        <f t="shared" si="61"/>
        <v>751-850 (Excellent)</v>
      </c>
      <c r="K1959" s="1"/>
    </row>
    <row r="1960" spans="1:11" x14ac:dyDescent="0.35">
      <c r="A1960" t="s">
        <v>3056</v>
      </c>
      <c r="B1960" t="s">
        <v>3057</v>
      </c>
      <c r="C1960">
        <v>38968</v>
      </c>
      <c r="D1960">
        <v>617</v>
      </c>
      <c r="E1960">
        <v>1810</v>
      </c>
      <c r="F1960">
        <v>13</v>
      </c>
      <c r="G1960">
        <v>55</v>
      </c>
      <c r="H1960" t="b">
        <v>0</v>
      </c>
      <c r="I1960">
        <f t="shared" si="60"/>
        <v>0</v>
      </c>
      <c r="J1960" t="str">
        <f t="shared" si="61"/>
        <v>601-750 (Good)</v>
      </c>
      <c r="K1960" s="1"/>
    </row>
    <row r="1961" spans="1:11" x14ac:dyDescent="0.35">
      <c r="A1961" t="s">
        <v>1009</v>
      </c>
      <c r="B1961" t="s">
        <v>1010</v>
      </c>
      <c r="C1961">
        <v>64664</v>
      </c>
      <c r="D1961">
        <v>308</v>
      </c>
      <c r="E1961">
        <v>1774</v>
      </c>
      <c r="F1961">
        <v>13</v>
      </c>
      <c r="G1961">
        <v>50</v>
      </c>
      <c r="H1961" t="b">
        <v>0</v>
      </c>
      <c r="I1961">
        <f t="shared" si="60"/>
        <v>0</v>
      </c>
      <c r="J1961" t="str">
        <f t="shared" si="61"/>
        <v>300-450 (Poor)</v>
      </c>
      <c r="K1961" s="1"/>
    </row>
    <row r="1962" spans="1:11" x14ac:dyDescent="0.35">
      <c r="A1962" t="s">
        <v>3824</v>
      </c>
      <c r="B1962" t="s">
        <v>3019</v>
      </c>
      <c r="C1962">
        <v>86387</v>
      </c>
      <c r="D1962">
        <v>612</v>
      </c>
      <c r="E1962">
        <v>1774</v>
      </c>
      <c r="F1962">
        <v>2</v>
      </c>
      <c r="G1962">
        <v>60</v>
      </c>
      <c r="H1962" t="b">
        <v>1</v>
      </c>
      <c r="I1962">
        <f t="shared" si="60"/>
        <v>1</v>
      </c>
      <c r="J1962" t="str">
        <f t="shared" si="61"/>
        <v>601-750 (Good)</v>
      </c>
      <c r="K1962" s="1"/>
    </row>
    <row r="1963" spans="1:11" x14ac:dyDescent="0.35">
      <c r="A1963" t="s">
        <v>1260</v>
      </c>
      <c r="B1963" t="s">
        <v>1261</v>
      </c>
      <c r="C1963">
        <v>143292</v>
      </c>
      <c r="D1963">
        <v>437</v>
      </c>
      <c r="E1963">
        <v>1760</v>
      </c>
      <c r="F1963">
        <v>4</v>
      </c>
      <c r="G1963">
        <v>50</v>
      </c>
      <c r="H1963" t="b">
        <v>0</v>
      </c>
      <c r="I1963">
        <f t="shared" si="60"/>
        <v>0</v>
      </c>
      <c r="J1963" t="str">
        <f t="shared" si="61"/>
        <v>300-450 (Poor)</v>
      </c>
      <c r="K1963" s="1"/>
    </row>
    <row r="1964" spans="1:11" x14ac:dyDescent="0.35">
      <c r="A1964" t="s">
        <v>2323</v>
      </c>
      <c r="B1964" t="s">
        <v>2324</v>
      </c>
      <c r="C1964">
        <v>68290</v>
      </c>
      <c r="D1964">
        <v>698</v>
      </c>
      <c r="E1964">
        <v>1722</v>
      </c>
      <c r="F1964">
        <v>37</v>
      </c>
      <c r="G1964">
        <v>75</v>
      </c>
      <c r="H1964" t="b">
        <v>1</v>
      </c>
      <c r="I1964">
        <f t="shared" si="60"/>
        <v>1</v>
      </c>
      <c r="J1964" t="str">
        <f t="shared" si="61"/>
        <v>601-750 (Good)</v>
      </c>
      <c r="K1964" s="1"/>
    </row>
    <row r="1965" spans="1:11" x14ac:dyDescent="0.35">
      <c r="A1965" t="s">
        <v>3524</v>
      </c>
      <c r="B1965" t="s">
        <v>3525</v>
      </c>
      <c r="C1965">
        <v>121289</v>
      </c>
      <c r="D1965">
        <v>775</v>
      </c>
      <c r="E1965">
        <v>1697</v>
      </c>
      <c r="F1965">
        <v>13</v>
      </c>
      <c r="G1965">
        <v>95</v>
      </c>
      <c r="H1965" t="b">
        <v>1</v>
      </c>
      <c r="I1965">
        <f t="shared" si="60"/>
        <v>1</v>
      </c>
      <c r="J1965" t="str">
        <f t="shared" si="61"/>
        <v>751-850 (Excellent)</v>
      </c>
      <c r="K1965" s="1"/>
    </row>
    <row r="1966" spans="1:11" x14ac:dyDescent="0.35">
      <c r="A1966" t="s">
        <v>2553</v>
      </c>
      <c r="B1966" t="s">
        <v>2554</v>
      </c>
      <c r="C1966">
        <v>138034</v>
      </c>
      <c r="D1966">
        <v>473</v>
      </c>
      <c r="E1966">
        <v>1684</v>
      </c>
      <c r="F1966">
        <v>13</v>
      </c>
      <c r="G1966">
        <v>60</v>
      </c>
      <c r="H1966" t="b">
        <v>1</v>
      </c>
      <c r="I1966">
        <f t="shared" si="60"/>
        <v>1</v>
      </c>
      <c r="J1966" t="str">
        <f t="shared" si="61"/>
        <v>451-600 (Fair)</v>
      </c>
      <c r="K1966" s="1"/>
    </row>
    <row r="1967" spans="1:11" x14ac:dyDescent="0.35">
      <c r="A1967" t="s">
        <v>2155</v>
      </c>
      <c r="B1967" t="s">
        <v>328</v>
      </c>
      <c r="C1967">
        <v>108139</v>
      </c>
      <c r="D1967">
        <v>698</v>
      </c>
      <c r="E1967">
        <v>1650</v>
      </c>
      <c r="F1967">
        <v>35</v>
      </c>
      <c r="G1967">
        <v>85</v>
      </c>
      <c r="H1967" t="b">
        <v>1</v>
      </c>
      <c r="I1967">
        <f t="shared" si="60"/>
        <v>1</v>
      </c>
      <c r="J1967" t="str">
        <f t="shared" si="61"/>
        <v>601-750 (Good)</v>
      </c>
      <c r="K1967" s="1"/>
    </row>
    <row r="1968" spans="1:11" x14ac:dyDescent="0.35">
      <c r="A1968" t="s">
        <v>3164</v>
      </c>
      <c r="B1968" t="s">
        <v>3165</v>
      </c>
      <c r="C1968">
        <v>63466</v>
      </c>
      <c r="D1968">
        <v>361</v>
      </c>
      <c r="E1968">
        <v>1645</v>
      </c>
      <c r="F1968">
        <v>7</v>
      </c>
      <c r="G1968">
        <v>45</v>
      </c>
      <c r="H1968" t="b">
        <v>0</v>
      </c>
      <c r="I1968">
        <f t="shared" si="60"/>
        <v>0</v>
      </c>
      <c r="J1968" t="str">
        <f t="shared" si="61"/>
        <v>300-450 (Poor)</v>
      </c>
      <c r="K1968" s="1"/>
    </row>
    <row r="1969" spans="1:11" x14ac:dyDescent="0.35">
      <c r="A1969" t="s">
        <v>2514</v>
      </c>
      <c r="B1969" t="s">
        <v>2515</v>
      </c>
      <c r="C1969">
        <v>107304</v>
      </c>
      <c r="D1969">
        <v>785</v>
      </c>
      <c r="E1969">
        <v>1643</v>
      </c>
      <c r="F1969">
        <v>20</v>
      </c>
      <c r="G1969">
        <v>95</v>
      </c>
      <c r="H1969" t="b">
        <v>1</v>
      </c>
      <c r="I1969">
        <f t="shared" si="60"/>
        <v>1</v>
      </c>
      <c r="J1969" t="str">
        <f t="shared" si="61"/>
        <v>751-850 (Excellent)</v>
      </c>
      <c r="K1969" s="1"/>
    </row>
    <row r="1970" spans="1:11" x14ac:dyDescent="0.35">
      <c r="A1970" t="s">
        <v>829</v>
      </c>
      <c r="B1970" t="s">
        <v>830</v>
      </c>
      <c r="C1970">
        <v>37989</v>
      </c>
      <c r="D1970">
        <v>346</v>
      </c>
      <c r="E1970">
        <v>1633</v>
      </c>
      <c r="F1970">
        <v>8</v>
      </c>
      <c r="G1970">
        <v>35</v>
      </c>
      <c r="H1970" t="b">
        <v>0</v>
      </c>
      <c r="I1970">
        <f t="shared" si="60"/>
        <v>0</v>
      </c>
      <c r="J1970" t="str">
        <f t="shared" si="61"/>
        <v>300-450 (Poor)</v>
      </c>
      <c r="K1970" s="1"/>
    </row>
    <row r="1971" spans="1:11" x14ac:dyDescent="0.35">
      <c r="A1971" t="s">
        <v>1719</v>
      </c>
      <c r="B1971" t="s">
        <v>1720</v>
      </c>
      <c r="C1971">
        <v>84496</v>
      </c>
      <c r="D1971">
        <v>755</v>
      </c>
      <c r="E1971">
        <v>1613</v>
      </c>
      <c r="F1971">
        <v>14</v>
      </c>
      <c r="G1971">
        <v>90</v>
      </c>
      <c r="H1971" t="b">
        <v>1</v>
      </c>
      <c r="I1971">
        <f t="shared" si="60"/>
        <v>1</v>
      </c>
      <c r="J1971" t="str">
        <f t="shared" si="61"/>
        <v>751-850 (Excellent)</v>
      </c>
      <c r="K1971" s="1"/>
    </row>
    <row r="1972" spans="1:11" x14ac:dyDescent="0.35">
      <c r="A1972" t="s">
        <v>3196</v>
      </c>
      <c r="B1972" t="s">
        <v>3197</v>
      </c>
      <c r="C1972">
        <v>85615</v>
      </c>
      <c r="D1972">
        <v>551</v>
      </c>
      <c r="E1972">
        <v>1573</v>
      </c>
      <c r="F1972">
        <v>20</v>
      </c>
      <c r="G1972">
        <v>55</v>
      </c>
      <c r="H1972" t="b">
        <v>0</v>
      </c>
      <c r="I1972">
        <f t="shared" si="60"/>
        <v>0</v>
      </c>
      <c r="J1972" t="str">
        <f t="shared" si="61"/>
        <v>451-600 (Fair)</v>
      </c>
      <c r="K1972" s="1"/>
    </row>
    <row r="1973" spans="1:11" x14ac:dyDescent="0.35">
      <c r="A1973" t="s">
        <v>3673</v>
      </c>
      <c r="B1973" t="s">
        <v>3674</v>
      </c>
      <c r="C1973">
        <v>62853</v>
      </c>
      <c r="D1973">
        <v>645</v>
      </c>
      <c r="E1973">
        <v>1572</v>
      </c>
      <c r="F1973">
        <v>36</v>
      </c>
      <c r="G1973">
        <v>65</v>
      </c>
      <c r="H1973" t="b">
        <v>1</v>
      </c>
      <c r="I1973">
        <f t="shared" si="60"/>
        <v>1</v>
      </c>
      <c r="J1973" t="str">
        <f t="shared" si="61"/>
        <v>601-750 (Good)</v>
      </c>
      <c r="K1973" s="1"/>
    </row>
    <row r="1974" spans="1:11" x14ac:dyDescent="0.35">
      <c r="A1974" t="s">
        <v>1044</v>
      </c>
      <c r="B1974" t="s">
        <v>1045</v>
      </c>
      <c r="C1974">
        <v>96244</v>
      </c>
      <c r="D1974">
        <v>847</v>
      </c>
      <c r="E1974">
        <v>1545</v>
      </c>
      <c r="F1974">
        <v>31</v>
      </c>
      <c r="G1974">
        <v>95</v>
      </c>
      <c r="H1974" t="b">
        <v>1</v>
      </c>
      <c r="I1974">
        <f t="shared" si="60"/>
        <v>1</v>
      </c>
      <c r="J1974" t="str">
        <f t="shared" si="61"/>
        <v>751-850 (Excellent)</v>
      </c>
      <c r="K1974" s="1"/>
    </row>
    <row r="1975" spans="1:11" x14ac:dyDescent="0.35">
      <c r="A1975" t="s">
        <v>665</v>
      </c>
      <c r="B1975" t="s">
        <v>666</v>
      </c>
      <c r="C1975">
        <v>42704</v>
      </c>
      <c r="D1975">
        <v>767</v>
      </c>
      <c r="E1975">
        <v>1522</v>
      </c>
      <c r="F1975">
        <v>23</v>
      </c>
      <c r="G1975">
        <v>75</v>
      </c>
      <c r="H1975" t="b">
        <v>1</v>
      </c>
      <c r="I1975">
        <f t="shared" si="60"/>
        <v>1</v>
      </c>
      <c r="J1975" t="str">
        <f t="shared" si="61"/>
        <v>751-850 (Excellent)</v>
      </c>
      <c r="K1975" s="1"/>
    </row>
    <row r="1976" spans="1:11" x14ac:dyDescent="0.35">
      <c r="A1976" t="s">
        <v>1652</v>
      </c>
      <c r="B1976" t="s">
        <v>1653</v>
      </c>
      <c r="C1976">
        <v>140082</v>
      </c>
      <c r="D1976">
        <v>652</v>
      </c>
      <c r="E1976">
        <v>1517</v>
      </c>
      <c r="F1976">
        <v>17</v>
      </c>
      <c r="G1976">
        <v>75</v>
      </c>
      <c r="H1976" t="b">
        <v>1</v>
      </c>
      <c r="I1976">
        <f t="shared" si="60"/>
        <v>1</v>
      </c>
      <c r="J1976" t="str">
        <f t="shared" si="61"/>
        <v>601-750 (Good)</v>
      </c>
      <c r="K1976" s="1"/>
    </row>
    <row r="1977" spans="1:11" x14ac:dyDescent="0.35">
      <c r="A1977" t="s">
        <v>1533</v>
      </c>
      <c r="B1977" t="s">
        <v>1534</v>
      </c>
      <c r="C1977">
        <v>105454</v>
      </c>
      <c r="D1977">
        <v>697</v>
      </c>
      <c r="E1977">
        <v>1515</v>
      </c>
      <c r="F1977">
        <v>25</v>
      </c>
      <c r="G1977">
        <v>85</v>
      </c>
      <c r="H1977" t="b">
        <v>1</v>
      </c>
      <c r="I1977">
        <f t="shared" si="60"/>
        <v>1</v>
      </c>
      <c r="J1977" t="str">
        <f t="shared" si="61"/>
        <v>601-750 (Good)</v>
      </c>
      <c r="K1977" s="1"/>
    </row>
    <row r="1978" spans="1:11" x14ac:dyDescent="0.35">
      <c r="A1978" t="s">
        <v>289</v>
      </c>
      <c r="B1978" t="s">
        <v>290</v>
      </c>
      <c r="C1978">
        <v>144867</v>
      </c>
      <c r="D1978">
        <v>356</v>
      </c>
      <c r="E1978">
        <v>1503</v>
      </c>
      <c r="F1978">
        <v>13</v>
      </c>
      <c r="G1978">
        <v>60</v>
      </c>
      <c r="H1978" t="b">
        <v>1</v>
      </c>
      <c r="I1978">
        <f t="shared" si="60"/>
        <v>1</v>
      </c>
      <c r="J1978" t="str">
        <f t="shared" si="61"/>
        <v>300-450 (Poor)</v>
      </c>
      <c r="K1978" s="1"/>
    </row>
    <row r="1979" spans="1:11" x14ac:dyDescent="0.35">
      <c r="A1979" t="s">
        <v>779</v>
      </c>
      <c r="B1979" t="s">
        <v>780</v>
      </c>
      <c r="C1979">
        <v>51579</v>
      </c>
      <c r="D1979">
        <v>404</v>
      </c>
      <c r="E1979">
        <v>1481</v>
      </c>
      <c r="F1979">
        <v>32</v>
      </c>
      <c r="G1979">
        <v>50</v>
      </c>
      <c r="H1979" t="b">
        <v>0</v>
      </c>
      <c r="I1979">
        <f t="shared" si="60"/>
        <v>0</v>
      </c>
      <c r="J1979" t="str">
        <f t="shared" si="61"/>
        <v>300-450 (Poor)</v>
      </c>
      <c r="K1979" s="1"/>
    </row>
    <row r="1980" spans="1:11" x14ac:dyDescent="0.35">
      <c r="A1980" t="s">
        <v>898</v>
      </c>
      <c r="B1980" t="s">
        <v>899</v>
      </c>
      <c r="C1980">
        <v>104085</v>
      </c>
      <c r="D1980">
        <v>846</v>
      </c>
      <c r="E1980">
        <v>1480</v>
      </c>
      <c r="F1980">
        <v>40</v>
      </c>
      <c r="G1980">
        <v>100</v>
      </c>
      <c r="H1980" t="b">
        <v>1</v>
      </c>
      <c r="I1980">
        <f t="shared" si="60"/>
        <v>1</v>
      </c>
      <c r="J1980" t="str">
        <f t="shared" si="61"/>
        <v>751-850 (Excellent)</v>
      </c>
      <c r="K1980" s="1"/>
    </row>
    <row r="1981" spans="1:11" x14ac:dyDescent="0.35">
      <c r="A1981" t="s">
        <v>53</v>
      </c>
      <c r="B1981" t="s">
        <v>54</v>
      </c>
      <c r="C1981">
        <v>33905</v>
      </c>
      <c r="D1981">
        <v>525</v>
      </c>
      <c r="E1981">
        <v>1471</v>
      </c>
      <c r="F1981">
        <v>4</v>
      </c>
      <c r="G1981">
        <v>30</v>
      </c>
      <c r="H1981" t="b">
        <v>0</v>
      </c>
      <c r="I1981">
        <f t="shared" si="60"/>
        <v>0</v>
      </c>
      <c r="J1981" t="str">
        <f t="shared" si="61"/>
        <v>451-600 (Fair)</v>
      </c>
      <c r="K1981" s="1"/>
    </row>
    <row r="1982" spans="1:11" x14ac:dyDescent="0.35">
      <c r="A1982" t="s">
        <v>2600</v>
      </c>
      <c r="B1982" t="s">
        <v>2601</v>
      </c>
      <c r="C1982">
        <v>41970</v>
      </c>
      <c r="D1982">
        <v>453</v>
      </c>
      <c r="E1982">
        <v>1455</v>
      </c>
      <c r="F1982">
        <v>21</v>
      </c>
      <c r="G1982">
        <v>40</v>
      </c>
      <c r="H1982" t="b">
        <v>0</v>
      </c>
      <c r="I1982">
        <f t="shared" si="60"/>
        <v>0</v>
      </c>
      <c r="J1982" t="str">
        <f t="shared" si="61"/>
        <v>451-600 (Fair)</v>
      </c>
      <c r="K1982" s="1"/>
    </row>
    <row r="1983" spans="1:11" x14ac:dyDescent="0.35">
      <c r="A1983" t="s">
        <v>456</v>
      </c>
      <c r="B1983" t="s">
        <v>457</v>
      </c>
      <c r="C1983">
        <v>96540</v>
      </c>
      <c r="D1983">
        <v>554</v>
      </c>
      <c r="E1983">
        <v>1447</v>
      </c>
      <c r="F1983">
        <v>16</v>
      </c>
      <c r="G1983">
        <v>55</v>
      </c>
      <c r="H1983" t="b">
        <v>0</v>
      </c>
      <c r="I1983">
        <f t="shared" si="60"/>
        <v>0</v>
      </c>
      <c r="J1983" t="str">
        <f t="shared" si="61"/>
        <v>451-600 (Fair)</v>
      </c>
      <c r="K1983" s="1"/>
    </row>
    <row r="1984" spans="1:11" x14ac:dyDescent="0.35">
      <c r="A1984" t="s">
        <v>2859</v>
      </c>
      <c r="B1984" t="s">
        <v>878</v>
      </c>
      <c r="C1984">
        <v>133547</v>
      </c>
      <c r="D1984">
        <v>622</v>
      </c>
      <c r="E1984">
        <v>1444</v>
      </c>
      <c r="F1984">
        <v>39</v>
      </c>
      <c r="G1984">
        <v>75</v>
      </c>
      <c r="H1984" t="b">
        <v>1</v>
      </c>
      <c r="I1984">
        <f t="shared" si="60"/>
        <v>1</v>
      </c>
      <c r="J1984" t="str">
        <f t="shared" si="61"/>
        <v>601-750 (Good)</v>
      </c>
      <c r="K1984" s="1"/>
    </row>
    <row r="1985" spans="1:11" x14ac:dyDescent="0.35">
      <c r="A1985" t="s">
        <v>1895</v>
      </c>
      <c r="B1985" t="s">
        <v>1896</v>
      </c>
      <c r="C1985">
        <v>75870</v>
      </c>
      <c r="D1985">
        <v>615</v>
      </c>
      <c r="E1985">
        <v>1420</v>
      </c>
      <c r="F1985">
        <v>10</v>
      </c>
      <c r="G1985">
        <v>70</v>
      </c>
      <c r="H1985" t="b">
        <v>1</v>
      </c>
      <c r="I1985">
        <f t="shared" si="60"/>
        <v>1</v>
      </c>
      <c r="J1985" t="str">
        <f t="shared" si="61"/>
        <v>601-750 (Good)</v>
      </c>
      <c r="K1985" s="1"/>
    </row>
    <row r="1986" spans="1:11" x14ac:dyDescent="0.35">
      <c r="A1986" t="s">
        <v>514</v>
      </c>
      <c r="B1986" t="s">
        <v>515</v>
      </c>
      <c r="C1986">
        <v>93699</v>
      </c>
      <c r="D1986">
        <v>349</v>
      </c>
      <c r="E1986">
        <v>1418</v>
      </c>
      <c r="F1986">
        <v>26</v>
      </c>
      <c r="G1986">
        <v>55</v>
      </c>
      <c r="H1986" t="b">
        <v>0</v>
      </c>
      <c r="I1986">
        <f t="shared" si="60"/>
        <v>0</v>
      </c>
      <c r="J1986" t="str">
        <f t="shared" si="61"/>
        <v>300-450 (Poor)</v>
      </c>
      <c r="K1986" s="1"/>
    </row>
    <row r="1987" spans="1:11" x14ac:dyDescent="0.35">
      <c r="A1987" t="s">
        <v>2734</v>
      </c>
      <c r="B1987" t="s">
        <v>2735</v>
      </c>
      <c r="C1987">
        <v>77419</v>
      </c>
      <c r="D1987">
        <v>600</v>
      </c>
      <c r="E1987">
        <v>1416</v>
      </c>
      <c r="F1987">
        <v>39</v>
      </c>
      <c r="G1987">
        <v>70</v>
      </c>
      <c r="H1987" t="b">
        <v>1</v>
      </c>
      <c r="I1987">
        <f t="shared" si="60"/>
        <v>1</v>
      </c>
      <c r="J1987" t="str">
        <f t="shared" si="61"/>
        <v>451-600 (Fair)</v>
      </c>
      <c r="K1987" s="1"/>
    </row>
    <row r="1988" spans="1:11" x14ac:dyDescent="0.35">
      <c r="A1988" t="s">
        <v>2009</v>
      </c>
      <c r="B1988" t="s">
        <v>2010</v>
      </c>
      <c r="C1988">
        <v>119687</v>
      </c>
      <c r="D1988">
        <v>409</v>
      </c>
      <c r="E1988">
        <v>1337</v>
      </c>
      <c r="F1988">
        <v>22</v>
      </c>
      <c r="G1988">
        <v>60</v>
      </c>
      <c r="H1988" t="b">
        <v>1</v>
      </c>
      <c r="I1988">
        <f t="shared" ref="I1988:I2002" si="62">--H1988</f>
        <v>1</v>
      </c>
      <c r="J1988" t="str">
        <f t="shared" ref="J1988:J2002" si="63">IF(D1988&gt;750, "751-850 (Excellent)", IF(D1988&gt;600, "601-750 (Good)", IF(D1988&gt;450, "451-600 (Fair)", "300-450 (Poor)")))</f>
        <v>300-450 (Poor)</v>
      </c>
      <c r="K1988" s="1"/>
    </row>
    <row r="1989" spans="1:11" x14ac:dyDescent="0.35">
      <c r="A1989" t="s">
        <v>580</v>
      </c>
      <c r="B1989" t="s">
        <v>581</v>
      </c>
      <c r="C1989">
        <v>45860</v>
      </c>
      <c r="D1989">
        <v>698</v>
      </c>
      <c r="E1989">
        <v>1291</v>
      </c>
      <c r="F1989">
        <v>13</v>
      </c>
      <c r="G1989">
        <v>65</v>
      </c>
      <c r="H1989" t="b">
        <v>1</v>
      </c>
      <c r="I1989">
        <f t="shared" si="62"/>
        <v>1</v>
      </c>
      <c r="J1989" t="str">
        <f t="shared" si="63"/>
        <v>601-750 (Good)</v>
      </c>
      <c r="K1989" s="1"/>
    </row>
    <row r="1990" spans="1:11" x14ac:dyDescent="0.35">
      <c r="A1990" t="s">
        <v>1402</v>
      </c>
      <c r="B1990" t="s">
        <v>1403</v>
      </c>
      <c r="C1990">
        <v>55144</v>
      </c>
      <c r="D1990">
        <v>459</v>
      </c>
      <c r="E1990">
        <v>1281</v>
      </c>
      <c r="F1990">
        <v>34</v>
      </c>
      <c r="G1990">
        <v>50</v>
      </c>
      <c r="H1990" t="b">
        <v>0</v>
      </c>
      <c r="I1990">
        <f t="shared" si="62"/>
        <v>0</v>
      </c>
      <c r="J1990" t="str">
        <f t="shared" si="63"/>
        <v>451-600 (Fair)</v>
      </c>
      <c r="K1990" s="1"/>
    </row>
    <row r="1991" spans="1:11" x14ac:dyDescent="0.35">
      <c r="A1991" t="s">
        <v>1713</v>
      </c>
      <c r="B1991" t="s">
        <v>1714</v>
      </c>
      <c r="C1991">
        <v>73369</v>
      </c>
      <c r="D1991">
        <v>787</v>
      </c>
      <c r="E1991">
        <v>1280</v>
      </c>
      <c r="F1991">
        <v>0</v>
      </c>
      <c r="G1991">
        <v>70</v>
      </c>
      <c r="H1991" t="b">
        <v>1</v>
      </c>
      <c r="I1991">
        <f t="shared" si="62"/>
        <v>1</v>
      </c>
      <c r="J1991" t="str">
        <f t="shared" si="63"/>
        <v>751-850 (Excellent)</v>
      </c>
      <c r="K1991" s="1"/>
    </row>
    <row r="1992" spans="1:11" x14ac:dyDescent="0.35">
      <c r="A1992" t="s">
        <v>85</v>
      </c>
      <c r="B1992" t="s">
        <v>86</v>
      </c>
      <c r="C1992">
        <v>107236</v>
      </c>
      <c r="D1992">
        <v>345</v>
      </c>
      <c r="E1992">
        <v>1232</v>
      </c>
      <c r="F1992">
        <v>21</v>
      </c>
      <c r="G1992">
        <v>60</v>
      </c>
      <c r="H1992" t="b">
        <v>1</v>
      </c>
      <c r="I1992">
        <f t="shared" si="62"/>
        <v>1</v>
      </c>
      <c r="J1992" t="str">
        <f t="shared" si="63"/>
        <v>300-450 (Poor)</v>
      </c>
      <c r="K1992" s="1"/>
    </row>
    <row r="1993" spans="1:11" x14ac:dyDescent="0.35">
      <c r="A1993" t="s">
        <v>1175</v>
      </c>
      <c r="B1993" t="s">
        <v>1176</v>
      </c>
      <c r="C1993">
        <v>136269</v>
      </c>
      <c r="D1993">
        <v>507</v>
      </c>
      <c r="E1993">
        <v>1231</v>
      </c>
      <c r="F1993">
        <v>39</v>
      </c>
      <c r="G1993">
        <v>60</v>
      </c>
      <c r="H1993" t="b">
        <v>1</v>
      </c>
      <c r="I1993">
        <f t="shared" si="62"/>
        <v>1</v>
      </c>
      <c r="J1993" t="str">
        <f t="shared" si="63"/>
        <v>451-600 (Fair)</v>
      </c>
      <c r="K1993" s="1"/>
    </row>
    <row r="1994" spans="1:11" x14ac:dyDescent="0.35">
      <c r="A1994" t="s">
        <v>3359</v>
      </c>
      <c r="B1994" t="s">
        <v>3360</v>
      </c>
      <c r="C1994">
        <v>99579</v>
      </c>
      <c r="D1994">
        <v>841</v>
      </c>
      <c r="E1994">
        <v>1220</v>
      </c>
      <c r="F1994">
        <v>9</v>
      </c>
      <c r="G1994">
        <v>90</v>
      </c>
      <c r="H1994" t="b">
        <v>1</v>
      </c>
      <c r="I1994">
        <f t="shared" si="62"/>
        <v>1</v>
      </c>
      <c r="J1994" t="str">
        <f t="shared" si="63"/>
        <v>751-850 (Excellent)</v>
      </c>
      <c r="K1994" s="1"/>
    </row>
    <row r="1995" spans="1:11" x14ac:dyDescent="0.35">
      <c r="A1995" t="s">
        <v>1312</v>
      </c>
      <c r="B1995" t="s">
        <v>1313</v>
      </c>
      <c r="C1995">
        <v>87199</v>
      </c>
      <c r="D1995">
        <v>531</v>
      </c>
      <c r="E1995">
        <v>1216</v>
      </c>
      <c r="F1995">
        <v>24</v>
      </c>
      <c r="G1995">
        <v>55</v>
      </c>
      <c r="H1995" t="b">
        <v>0</v>
      </c>
      <c r="I1995">
        <f t="shared" si="62"/>
        <v>0</v>
      </c>
      <c r="J1995" t="str">
        <f t="shared" si="63"/>
        <v>451-600 (Fair)</v>
      </c>
      <c r="K1995" s="1"/>
    </row>
    <row r="1996" spans="1:11" x14ac:dyDescent="0.35">
      <c r="A1996" t="s">
        <v>3458</v>
      </c>
      <c r="B1996" t="s">
        <v>3459</v>
      </c>
      <c r="C1996">
        <v>60647</v>
      </c>
      <c r="D1996">
        <v>725</v>
      </c>
      <c r="E1996">
        <v>1201</v>
      </c>
      <c r="F1996">
        <v>39</v>
      </c>
      <c r="G1996">
        <v>75</v>
      </c>
      <c r="H1996" t="b">
        <v>1</v>
      </c>
      <c r="I1996">
        <f t="shared" si="62"/>
        <v>1</v>
      </c>
      <c r="J1996" t="str">
        <f t="shared" si="63"/>
        <v>601-750 (Good)</v>
      </c>
      <c r="K1996" s="1"/>
    </row>
    <row r="1997" spans="1:11" x14ac:dyDescent="0.35">
      <c r="A1997" t="s">
        <v>472</v>
      </c>
      <c r="B1997" t="s">
        <v>473</v>
      </c>
      <c r="C1997">
        <v>132056</v>
      </c>
      <c r="D1997">
        <v>560</v>
      </c>
      <c r="E1997">
        <v>1197</v>
      </c>
      <c r="F1997">
        <v>13</v>
      </c>
      <c r="G1997">
        <v>60</v>
      </c>
      <c r="H1997" t="b">
        <v>1</v>
      </c>
      <c r="I1997">
        <f t="shared" si="62"/>
        <v>1</v>
      </c>
      <c r="J1997" t="str">
        <f t="shared" si="63"/>
        <v>451-600 (Fair)</v>
      </c>
      <c r="K1997" s="1"/>
    </row>
    <row r="1998" spans="1:11" x14ac:dyDescent="0.35">
      <c r="A1998" t="s">
        <v>3274</v>
      </c>
      <c r="B1998" t="s">
        <v>3275</v>
      </c>
      <c r="C1998">
        <v>60162</v>
      </c>
      <c r="D1998">
        <v>645</v>
      </c>
      <c r="E1998">
        <v>1179</v>
      </c>
      <c r="F1998">
        <v>6</v>
      </c>
      <c r="G1998">
        <v>60</v>
      </c>
      <c r="H1998" t="b">
        <v>1</v>
      </c>
      <c r="I1998">
        <f t="shared" si="62"/>
        <v>1</v>
      </c>
      <c r="J1998" t="str">
        <f t="shared" si="63"/>
        <v>601-750 (Good)</v>
      </c>
      <c r="K1998" s="1"/>
    </row>
    <row r="1999" spans="1:11" x14ac:dyDescent="0.35">
      <c r="A1999" t="s">
        <v>347</v>
      </c>
      <c r="B1999" t="s">
        <v>348</v>
      </c>
      <c r="C1999">
        <v>94686</v>
      </c>
      <c r="D1999">
        <v>739</v>
      </c>
      <c r="E1999">
        <v>1102</v>
      </c>
      <c r="F1999">
        <v>39</v>
      </c>
      <c r="G1999">
        <v>80</v>
      </c>
      <c r="H1999" t="b">
        <v>1</v>
      </c>
      <c r="I1999">
        <f t="shared" si="62"/>
        <v>1</v>
      </c>
      <c r="J1999" t="str">
        <f t="shared" si="63"/>
        <v>601-750 (Good)</v>
      </c>
      <c r="K1999" s="1"/>
    </row>
    <row r="2000" spans="1:11" x14ac:dyDescent="0.35">
      <c r="A2000" t="s">
        <v>45</v>
      </c>
      <c r="B2000" t="s">
        <v>46</v>
      </c>
      <c r="C2000">
        <v>41395</v>
      </c>
      <c r="D2000">
        <v>843</v>
      </c>
      <c r="E2000">
        <v>1037</v>
      </c>
      <c r="F2000">
        <v>38</v>
      </c>
      <c r="G2000">
        <v>80</v>
      </c>
      <c r="H2000" t="b">
        <v>1</v>
      </c>
      <c r="I2000">
        <f t="shared" si="62"/>
        <v>1</v>
      </c>
      <c r="J2000" t="str">
        <f t="shared" si="63"/>
        <v>751-850 (Excellent)</v>
      </c>
      <c r="K2000" s="1"/>
    </row>
    <row r="2001" spans="1:11" x14ac:dyDescent="0.35">
      <c r="A2001" t="s">
        <v>2690</v>
      </c>
      <c r="B2001" t="s">
        <v>2691</v>
      </c>
      <c r="C2001">
        <v>129680</v>
      </c>
      <c r="D2001">
        <v>767</v>
      </c>
      <c r="E2001">
        <v>1032</v>
      </c>
      <c r="F2001">
        <v>16</v>
      </c>
      <c r="G2001">
        <v>95</v>
      </c>
      <c r="H2001" t="b">
        <v>1</v>
      </c>
      <c r="I2001">
        <f t="shared" si="62"/>
        <v>1</v>
      </c>
      <c r="J2001" t="str">
        <f t="shared" si="63"/>
        <v>751-850 (Excellent)</v>
      </c>
      <c r="K2001" s="1"/>
    </row>
    <row r="2002" spans="1:11" x14ac:dyDescent="0.35">
      <c r="A2002" t="s">
        <v>3755</v>
      </c>
      <c r="B2002" t="s">
        <v>1075</v>
      </c>
      <c r="C2002">
        <v>98347</v>
      </c>
      <c r="D2002">
        <v>428</v>
      </c>
      <c r="E2002">
        <v>1022</v>
      </c>
      <c r="F2002">
        <v>32</v>
      </c>
      <c r="G2002">
        <v>55</v>
      </c>
      <c r="H2002" t="b">
        <v>0</v>
      </c>
      <c r="I2002">
        <f t="shared" si="62"/>
        <v>0</v>
      </c>
      <c r="J2002" t="str">
        <f t="shared" si="63"/>
        <v>300-450 (Poor)</v>
      </c>
      <c r="K2002" s="1"/>
    </row>
  </sheetData>
  <mergeCells count="2">
    <mergeCell ref="O1:X1"/>
    <mergeCell ref="L32:U32"/>
  </mergeCells>
  <conditionalFormatting sqref="I1:I1048576">
    <cfRule type="cellIs" dxfId="1" priority="4" operator="greaterThan">
      <formula>0.5</formula>
    </cfRule>
  </conditionalFormatting>
  <conditionalFormatting sqref="I3:I2002">
    <cfRule type="colorScale" priority="3">
      <colorScale>
        <cfvo type="min"/>
        <cfvo type="percentile" val="50"/>
        <cfvo type="max"/>
        <color rgb="FFF8696B"/>
        <color rgb="FFFCFCFF"/>
        <color rgb="FF63BE7B"/>
      </colorScale>
    </cfRule>
  </conditionalFormatting>
  <conditionalFormatting sqref="G3:G2002">
    <cfRule type="colorScale" priority="2">
      <colorScale>
        <cfvo type="min"/>
        <cfvo type="percentile" val="50"/>
        <cfvo type="max"/>
        <color rgb="FFF8696B"/>
        <color rgb="FFFCFCFF"/>
        <color rgb="FF63BE7B"/>
      </colorScale>
    </cfRule>
  </conditionalFormatting>
  <conditionalFormatting sqref="D3:D2002">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r:id="rId4"/>
  <tableParts count="5">
    <tablePart r:id="rId5"/>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AE0C6-4608-487D-983C-76DE68C8C03B}">
  <dimension ref="A1:N49"/>
  <sheetViews>
    <sheetView workbookViewId="0">
      <selection sqref="A1:N49"/>
    </sheetView>
  </sheetViews>
  <sheetFormatPr defaultRowHeight="14.5" x14ac:dyDescent="0.35"/>
  <sheetData>
    <row r="1" spans="1:14" x14ac:dyDescent="0.35">
      <c r="B1" t="s">
        <v>3905</v>
      </c>
      <c r="C1" t="s">
        <v>3903</v>
      </c>
      <c r="E1" s="3"/>
      <c r="F1" s="3"/>
      <c r="G1" s="3"/>
      <c r="H1" s="3"/>
      <c r="I1" s="3"/>
      <c r="J1" s="3"/>
      <c r="K1" s="3"/>
      <c r="L1" s="3"/>
      <c r="M1" s="3"/>
      <c r="N1" s="3"/>
    </row>
    <row r="3" spans="1:14" x14ac:dyDescent="0.35">
      <c r="A3" s="1"/>
      <c r="B3" t="s">
        <v>14</v>
      </c>
      <c r="C3" t="e">
        <f>SUM(#REF!)</f>
        <v>#REF!</v>
      </c>
    </row>
    <row r="4" spans="1:14" x14ac:dyDescent="0.35">
      <c r="A4" s="1"/>
      <c r="B4" t="s">
        <v>17</v>
      </c>
      <c r="C4" t="e">
        <f>COUNT(#REF!) - SUM(#REF!)</f>
        <v>#REF!</v>
      </c>
    </row>
    <row r="5" spans="1:14" x14ac:dyDescent="0.35">
      <c r="A5" s="1"/>
      <c r="B5" t="s">
        <v>20</v>
      </c>
      <c r="C5" t="e">
        <f>AVERAGE(#REF!)</f>
        <v>#REF!</v>
      </c>
    </row>
    <row r="6" spans="1:14" x14ac:dyDescent="0.35">
      <c r="A6" s="1"/>
    </row>
    <row r="7" spans="1:14" x14ac:dyDescent="0.35">
      <c r="A7" s="1"/>
      <c r="B7" t="s">
        <v>25</v>
      </c>
      <c r="C7" t="e">
        <f xml:space="preserve"> AVERAGEIF(#REF!, 1,#REF!)</f>
        <v>#REF!</v>
      </c>
    </row>
    <row r="8" spans="1:14" x14ac:dyDescent="0.35">
      <c r="A8" s="1"/>
      <c r="B8" t="s">
        <v>28</v>
      </c>
      <c r="C8" t="e">
        <f xml:space="preserve"> AVERAGEIF(#REF!, 0,#REF!)</f>
        <v>#REF!</v>
      </c>
    </row>
    <row r="9" spans="1:14" x14ac:dyDescent="0.35">
      <c r="A9" s="1"/>
      <c r="B9" t="s">
        <v>35</v>
      </c>
      <c r="C9" t="e">
        <f xml:space="preserve"> AVERAGEIF(#REF!, 1,#REF!)</f>
        <v>#REF!</v>
      </c>
    </row>
    <row r="10" spans="1:14" x14ac:dyDescent="0.35">
      <c r="A10" s="1"/>
      <c r="B10" t="s">
        <v>38</v>
      </c>
      <c r="C10" t="e">
        <f xml:space="preserve"> AVERAGEIF(#REF!, 0,#REF!)</f>
        <v>#REF!</v>
      </c>
    </row>
    <row r="11" spans="1:14" x14ac:dyDescent="0.35">
      <c r="A11" s="1"/>
    </row>
    <row r="12" spans="1:14" x14ac:dyDescent="0.35">
      <c r="A12" s="1"/>
    </row>
    <row r="13" spans="1:14" x14ac:dyDescent="0.35">
      <c r="A13" s="1"/>
    </row>
    <row r="14" spans="1:14" x14ac:dyDescent="0.35">
      <c r="A14" s="1"/>
      <c r="B14" t="s">
        <v>3904</v>
      </c>
      <c r="C14" t="s">
        <v>3903</v>
      </c>
    </row>
    <row r="15" spans="1:14" x14ac:dyDescent="0.35">
      <c r="A15" s="1"/>
      <c r="B15" t="s">
        <v>3902</v>
      </c>
      <c r="C15" t="e">
        <f xml:space="preserve"> CORREL(#REF!,#REF!)</f>
        <v>#REF!</v>
      </c>
    </row>
    <row r="16" spans="1:14" x14ac:dyDescent="0.35">
      <c r="A16" s="1"/>
      <c r="B16" t="s">
        <v>3899</v>
      </c>
      <c r="C16" t="e">
        <f xml:space="preserve"> CORREL(#REF!,#REF!)</f>
        <v>#REF!</v>
      </c>
    </row>
    <row r="17" spans="1:11" x14ac:dyDescent="0.35">
      <c r="A17" s="1"/>
      <c r="B17" t="s">
        <v>3900</v>
      </c>
      <c r="C17" t="e">
        <f xml:space="preserve"> CORREL(#REF!,#REF!)</f>
        <v>#REF!</v>
      </c>
    </row>
    <row r="18" spans="1:11" x14ac:dyDescent="0.35">
      <c r="A18" s="1"/>
      <c r="B18" t="s">
        <v>3901</v>
      </c>
      <c r="C18" t="e">
        <f xml:space="preserve"> CORREL(#REF!,#REF!)</f>
        <v>#REF!</v>
      </c>
    </row>
    <row r="19" spans="1:11" x14ac:dyDescent="0.35">
      <c r="A19" s="1"/>
    </row>
    <row r="20" spans="1:11" x14ac:dyDescent="0.35">
      <c r="A20" s="1"/>
    </row>
    <row r="21" spans="1:11" x14ac:dyDescent="0.35">
      <c r="A21" s="1"/>
    </row>
    <row r="22" spans="1:11" x14ac:dyDescent="0.35">
      <c r="A22" s="1"/>
      <c r="B22" s="13" t="s">
        <v>3937</v>
      </c>
      <c r="C22" t="s">
        <v>3936</v>
      </c>
    </row>
    <row r="23" spans="1:11" x14ac:dyDescent="0.35">
      <c r="A23" s="1"/>
      <c r="B23" s="14" t="s">
        <v>3929</v>
      </c>
      <c r="C23" s="15">
        <v>46</v>
      </c>
      <c r="E23" s="13" t="s">
        <v>3938</v>
      </c>
      <c r="F23" t="s">
        <v>3939</v>
      </c>
    </row>
    <row r="24" spans="1:11" x14ac:dyDescent="0.35">
      <c r="A24" s="1"/>
      <c r="B24" s="14" t="s">
        <v>3930</v>
      </c>
      <c r="C24" s="15">
        <v>76</v>
      </c>
      <c r="E24" s="15">
        <v>113360</v>
      </c>
      <c r="F24" s="15">
        <v>40882</v>
      </c>
      <c r="H24" s="13" t="s">
        <v>3942</v>
      </c>
      <c r="I24" s="13" t="s">
        <v>3940</v>
      </c>
      <c r="J24" t="s">
        <v>3941</v>
      </c>
    </row>
    <row r="25" spans="1:11" x14ac:dyDescent="0.35">
      <c r="A25" s="1"/>
      <c r="B25" s="14" t="s">
        <v>3931</v>
      </c>
      <c r="C25" s="15">
        <v>400</v>
      </c>
      <c r="H25" s="14" t="s">
        <v>3934</v>
      </c>
      <c r="I25" s="15">
        <v>93398869</v>
      </c>
      <c r="J25" s="15">
        <v>30596553</v>
      </c>
    </row>
    <row r="26" spans="1:11" x14ac:dyDescent="0.35">
      <c r="A26" s="1"/>
      <c r="B26" s="14" t="s">
        <v>3932</v>
      </c>
      <c r="C26" s="15">
        <v>357</v>
      </c>
      <c r="H26" s="14" t="s">
        <v>3935</v>
      </c>
      <c r="I26" s="15">
        <v>87773085</v>
      </c>
      <c r="J26" s="15">
        <v>20020453</v>
      </c>
    </row>
    <row r="27" spans="1:11" x14ac:dyDescent="0.35">
      <c r="A27" s="1"/>
      <c r="B27" s="14" t="s">
        <v>3933</v>
      </c>
      <c r="C27" s="15">
        <v>879</v>
      </c>
      <c r="H27" s="14" t="s">
        <v>3933</v>
      </c>
      <c r="I27" s="15">
        <v>181171954</v>
      </c>
      <c r="J27" s="15">
        <v>50617006</v>
      </c>
    </row>
    <row r="28" spans="1:11" x14ac:dyDescent="0.35">
      <c r="A28" s="1"/>
    </row>
    <row r="29" spans="1:11" x14ac:dyDescent="0.35">
      <c r="A29" s="1"/>
    </row>
    <row r="30" spans="1:11" x14ac:dyDescent="0.35">
      <c r="A30" s="1"/>
    </row>
    <row r="31" spans="1:11" ht="15" thickBot="1" x14ac:dyDescent="0.4">
      <c r="A31" s="1"/>
    </row>
    <row r="32" spans="1:11" x14ac:dyDescent="0.35">
      <c r="A32" s="1"/>
      <c r="B32" s="3" t="s">
        <v>3922</v>
      </c>
      <c r="C32" s="3"/>
      <c r="D32" s="3"/>
      <c r="E32" s="3"/>
      <c r="F32" s="3"/>
      <c r="G32" s="3"/>
      <c r="H32" s="3"/>
      <c r="I32" s="3"/>
      <c r="J32" s="3"/>
      <c r="K32" s="3"/>
    </row>
    <row r="33" spans="1:11" x14ac:dyDescent="0.35">
      <c r="A33" s="1"/>
      <c r="B33" s="2" t="s">
        <v>2</v>
      </c>
      <c r="C33" s="2" t="s">
        <v>3923</v>
      </c>
      <c r="D33" s="2" t="s">
        <v>3</v>
      </c>
      <c r="E33" s="2" t="s">
        <v>3924</v>
      </c>
      <c r="F33" s="2" t="s">
        <v>4</v>
      </c>
      <c r="G33" s="2" t="s">
        <v>3925</v>
      </c>
      <c r="H33" s="2" t="s">
        <v>5</v>
      </c>
      <c r="I33" s="2" t="s">
        <v>3926</v>
      </c>
      <c r="J33" s="2" t="s">
        <v>6</v>
      </c>
      <c r="K33" s="2" t="s">
        <v>3927</v>
      </c>
    </row>
    <row r="34" spans="1:11" x14ac:dyDescent="0.35">
      <c r="A34" s="1"/>
      <c r="B34" s="2" t="s">
        <v>3906</v>
      </c>
      <c r="C34" s="2">
        <v>90585.976999999999</v>
      </c>
      <c r="D34" s="2" t="s">
        <v>3906</v>
      </c>
      <c r="E34" s="2">
        <v>573.94600000000003</v>
      </c>
      <c r="F34" s="2" t="s">
        <v>3906</v>
      </c>
      <c r="G34" s="2">
        <v>25308.503000000001</v>
      </c>
      <c r="H34" s="2" t="s">
        <v>3906</v>
      </c>
      <c r="I34" s="2">
        <v>20.440999999999999</v>
      </c>
      <c r="J34" s="2" t="s">
        <v>3906</v>
      </c>
      <c r="K34" s="2">
        <v>56.68</v>
      </c>
    </row>
    <row r="35" spans="1:11" x14ac:dyDescent="0.35">
      <c r="A35" s="1"/>
      <c r="B35" s="2" t="s">
        <v>3907</v>
      </c>
      <c r="C35" s="2">
        <v>771.17232691411743</v>
      </c>
      <c r="D35" s="2" t="s">
        <v>3907</v>
      </c>
      <c r="E35" s="2">
        <v>3.5903413232461201</v>
      </c>
      <c r="F35" s="2" t="s">
        <v>3907</v>
      </c>
      <c r="G35" s="2">
        <v>317.68533626441462</v>
      </c>
      <c r="H35" s="2" t="s">
        <v>3907</v>
      </c>
      <c r="I35" s="2">
        <v>0.26335990340095372</v>
      </c>
      <c r="J35" s="2" t="s">
        <v>3907</v>
      </c>
      <c r="K35" s="2">
        <v>0.41675909596796573</v>
      </c>
    </row>
    <row r="36" spans="1:11" x14ac:dyDescent="0.35">
      <c r="A36" s="1"/>
      <c r="B36" s="2" t="s">
        <v>3908</v>
      </c>
      <c r="C36" s="2">
        <v>90387.5</v>
      </c>
      <c r="D36" s="2" t="s">
        <v>3908</v>
      </c>
      <c r="E36" s="2">
        <v>576</v>
      </c>
      <c r="F36" s="2" t="s">
        <v>3908</v>
      </c>
      <c r="G36" s="2">
        <v>25661.5</v>
      </c>
      <c r="H36" s="2" t="s">
        <v>3908</v>
      </c>
      <c r="I36" s="2">
        <v>21</v>
      </c>
      <c r="J36" s="2" t="s">
        <v>3908</v>
      </c>
      <c r="K36" s="2">
        <v>55</v>
      </c>
    </row>
    <row r="37" spans="1:11" x14ac:dyDescent="0.35">
      <c r="A37" s="1"/>
      <c r="B37" s="2" t="s">
        <v>3909</v>
      </c>
      <c r="C37" s="2">
        <v>104177</v>
      </c>
      <c r="D37" s="2" t="s">
        <v>3909</v>
      </c>
      <c r="E37" s="2">
        <v>395</v>
      </c>
      <c r="F37" s="2" t="s">
        <v>3909</v>
      </c>
      <c r="G37" s="2">
        <v>9800</v>
      </c>
      <c r="H37" s="2" t="s">
        <v>3909</v>
      </c>
      <c r="I37" s="2">
        <v>23</v>
      </c>
      <c r="J37" s="2" t="s">
        <v>3909</v>
      </c>
      <c r="K37" s="2">
        <v>50</v>
      </c>
    </row>
    <row r="38" spans="1:11" x14ac:dyDescent="0.35">
      <c r="A38" s="1"/>
      <c r="B38" s="2" t="s">
        <v>3910</v>
      </c>
      <c r="C38" s="2">
        <v>34487.874906933146</v>
      </c>
      <c r="D38" s="2" t="s">
        <v>3910</v>
      </c>
      <c r="E38" s="2">
        <v>160.56494522409741</v>
      </c>
      <c r="F38" s="2" t="s">
        <v>3910</v>
      </c>
      <c r="G38" s="2">
        <v>14207.320146842205</v>
      </c>
      <c r="H38" s="2" t="s">
        <v>3910</v>
      </c>
      <c r="I38" s="2">
        <v>11.777812931046212</v>
      </c>
      <c r="J38" s="2" t="s">
        <v>3910</v>
      </c>
      <c r="K38" s="2">
        <v>18.638033376514599</v>
      </c>
    </row>
    <row r="39" spans="1:11" x14ac:dyDescent="0.35">
      <c r="A39" s="1"/>
      <c r="B39" s="2" t="s">
        <v>3911</v>
      </c>
      <c r="C39" s="2">
        <v>1189413515.5962689</v>
      </c>
      <c r="D39" s="2" t="s">
        <v>3911</v>
      </c>
      <c r="E39" s="2">
        <v>25781.101634817402</v>
      </c>
      <c r="F39" s="2" t="s">
        <v>3911</v>
      </c>
      <c r="G39" s="2">
        <v>201847945.75486839</v>
      </c>
      <c r="H39" s="2" t="s">
        <v>3911</v>
      </c>
      <c r="I39" s="2">
        <v>138.71687743871934</v>
      </c>
      <c r="J39" s="2" t="s">
        <v>3911</v>
      </c>
      <c r="K39" s="2">
        <v>347.37628814407213</v>
      </c>
    </row>
    <row r="40" spans="1:11" x14ac:dyDescent="0.35">
      <c r="A40" s="1"/>
      <c r="B40" s="2" t="s">
        <v>3912</v>
      </c>
      <c r="C40" s="2">
        <v>-1.19990953176629</v>
      </c>
      <c r="D40" s="2" t="s">
        <v>3912</v>
      </c>
      <c r="E40" s="2">
        <v>-1.2416677645901206</v>
      </c>
      <c r="F40" s="2" t="s">
        <v>3912</v>
      </c>
      <c r="G40" s="2">
        <v>-1.2091151429412677</v>
      </c>
      <c r="H40" s="2" t="s">
        <v>3912</v>
      </c>
      <c r="I40" s="2">
        <v>-1.1924681806680526</v>
      </c>
      <c r="J40" s="2" t="s">
        <v>3912</v>
      </c>
      <c r="K40" s="2">
        <v>-0.57350335181197654</v>
      </c>
    </row>
    <row r="41" spans="1:11" x14ac:dyDescent="0.35">
      <c r="A41" s="1"/>
      <c r="B41" s="2" t="s">
        <v>3913</v>
      </c>
      <c r="C41" s="2">
        <v>-1.2115999731385193E-2</v>
      </c>
      <c r="D41" s="2" t="s">
        <v>3913</v>
      </c>
      <c r="E41" s="2">
        <v>1.7205540306713795E-3</v>
      </c>
      <c r="F41" s="2" t="s">
        <v>3913</v>
      </c>
      <c r="G41" s="2">
        <v>7.862566690607942E-3</v>
      </c>
      <c r="H41" s="2" t="s">
        <v>3913</v>
      </c>
      <c r="I41" s="2">
        <v>-2.7956568967589027E-2</v>
      </c>
      <c r="J41" s="2" t="s">
        <v>3913</v>
      </c>
      <c r="K41" s="2">
        <v>0.23144642311354829</v>
      </c>
    </row>
    <row r="42" spans="1:11" x14ac:dyDescent="0.35">
      <c r="A42" s="1"/>
      <c r="B42" s="2" t="s">
        <v>3914</v>
      </c>
      <c r="C42" s="2">
        <v>119911</v>
      </c>
      <c r="D42" s="2" t="s">
        <v>3914</v>
      </c>
      <c r="E42" s="2">
        <v>550</v>
      </c>
      <c r="F42" s="2" t="s">
        <v>3914</v>
      </c>
      <c r="G42" s="2">
        <v>48977</v>
      </c>
      <c r="H42" s="2" t="s">
        <v>3914</v>
      </c>
      <c r="I42" s="2">
        <v>40</v>
      </c>
      <c r="J42" s="2" t="s">
        <v>3914</v>
      </c>
      <c r="K42" s="2">
        <v>90</v>
      </c>
    </row>
    <row r="43" spans="1:11" x14ac:dyDescent="0.35">
      <c r="A43" s="1"/>
      <c r="B43" s="2" t="s">
        <v>3915</v>
      </c>
      <c r="C43" s="2">
        <v>30053</v>
      </c>
      <c r="D43" s="2" t="s">
        <v>3915</v>
      </c>
      <c r="E43" s="2">
        <v>300</v>
      </c>
      <c r="F43" s="2" t="s">
        <v>3915</v>
      </c>
      <c r="G43" s="2">
        <v>1022</v>
      </c>
      <c r="H43" s="2" t="s">
        <v>3915</v>
      </c>
      <c r="I43" s="2">
        <v>0</v>
      </c>
      <c r="J43" s="2" t="s">
        <v>3915</v>
      </c>
      <c r="K43" s="2">
        <v>10</v>
      </c>
    </row>
    <row r="44" spans="1:11" x14ac:dyDescent="0.35">
      <c r="A44" s="1"/>
      <c r="B44" s="2" t="s">
        <v>3916</v>
      </c>
      <c r="C44" s="2">
        <v>149964</v>
      </c>
      <c r="D44" s="2" t="s">
        <v>3916</v>
      </c>
      <c r="E44" s="2">
        <v>850</v>
      </c>
      <c r="F44" s="2" t="s">
        <v>3916</v>
      </c>
      <c r="G44" s="2">
        <v>49999</v>
      </c>
      <c r="H44" s="2" t="s">
        <v>3916</v>
      </c>
      <c r="I44" s="2">
        <v>40</v>
      </c>
      <c r="J44" s="2" t="s">
        <v>3916</v>
      </c>
      <c r="K44" s="2">
        <v>100</v>
      </c>
    </row>
    <row r="45" spans="1:11" x14ac:dyDescent="0.35">
      <c r="A45" s="1"/>
      <c r="B45" s="2" t="s">
        <v>3917</v>
      </c>
      <c r="C45" s="2">
        <v>181171954</v>
      </c>
      <c r="D45" s="2" t="s">
        <v>3917</v>
      </c>
      <c r="E45" s="2">
        <v>1147892</v>
      </c>
      <c r="F45" s="2" t="s">
        <v>3917</v>
      </c>
      <c r="G45" s="2">
        <v>50617006</v>
      </c>
      <c r="H45" s="2" t="s">
        <v>3917</v>
      </c>
      <c r="I45" s="2">
        <v>40882</v>
      </c>
      <c r="J45" s="2" t="s">
        <v>3917</v>
      </c>
      <c r="K45" s="2">
        <v>113360</v>
      </c>
    </row>
    <row r="46" spans="1:11" x14ac:dyDescent="0.35">
      <c r="A46" s="1"/>
      <c r="B46" s="2" t="s">
        <v>3918</v>
      </c>
      <c r="C46" s="2">
        <v>2000</v>
      </c>
      <c r="D46" s="2" t="s">
        <v>3918</v>
      </c>
      <c r="E46" s="2">
        <v>2000</v>
      </c>
      <c r="F46" s="2" t="s">
        <v>3918</v>
      </c>
      <c r="G46" s="2">
        <v>2000</v>
      </c>
      <c r="H46" s="2" t="s">
        <v>3918</v>
      </c>
      <c r="I46" s="2">
        <v>2000</v>
      </c>
      <c r="J46" s="2" t="s">
        <v>3918</v>
      </c>
      <c r="K46" s="2">
        <v>2000</v>
      </c>
    </row>
    <row r="47" spans="1:11" x14ac:dyDescent="0.35">
      <c r="A47" s="1"/>
      <c r="B47" s="2" t="s">
        <v>3919</v>
      </c>
      <c r="C47" s="2">
        <v>149964</v>
      </c>
      <c r="D47" s="2" t="s">
        <v>3919</v>
      </c>
      <c r="E47" s="2">
        <v>850</v>
      </c>
      <c r="F47" s="2" t="s">
        <v>3919</v>
      </c>
      <c r="G47" s="2">
        <v>49999</v>
      </c>
      <c r="H47" s="2" t="s">
        <v>3919</v>
      </c>
      <c r="I47" s="2">
        <v>40</v>
      </c>
      <c r="J47" s="2" t="s">
        <v>3919</v>
      </c>
      <c r="K47" s="2">
        <v>100</v>
      </c>
    </row>
    <row r="48" spans="1:11" x14ac:dyDescent="0.35">
      <c r="A48" s="1"/>
      <c r="B48" s="2" t="s">
        <v>3920</v>
      </c>
      <c r="C48" s="2">
        <v>30053</v>
      </c>
      <c r="D48" s="2" t="s">
        <v>3920</v>
      </c>
      <c r="E48" s="2">
        <v>300</v>
      </c>
      <c r="F48" s="2" t="s">
        <v>3920</v>
      </c>
      <c r="G48" s="2">
        <v>1022</v>
      </c>
      <c r="H48" s="2" t="s">
        <v>3920</v>
      </c>
      <c r="I48" s="2">
        <v>0</v>
      </c>
      <c r="J48" s="2" t="s">
        <v>3920</v>
      </c>
      <c r="K48" s="2">
        <v>10</v>
      </c>
    </row>
    <row r="49" spans="1:11" x14ac:dyDescent="0.35">
      <c r="A49" s="1"/>
      <c r="B49" s="2" t="s">
        <v>3921</v>
      </c>
      <c r="C49" s="2">
        <v>1512.3857041238305</v>
      </c>
      <c r="D49" s="2" t="s">
        <v>3921</v>
      </c>
      <c r="E49" s="2">
        <v>7.0412029849810533</v>
      </c>
      <c r="F49" s="2" t="s">
        <v>3921</v>
      </c>
      <c r="G49" s="2">
        <v>623.02904838230779</v>
      </c>
      <c r="H49" s="2" t="s">
        <v>3921</v>
      </c>
      <c r="I49" s="2">
        <v>0.51648864857075283</v>
      </c>
      <c r="J49" s="2" t="s">
        <v>3921</v>
      </c>
      <c r="K49" s="2">
        <v>0.81732769292656049</v>
      </c>
    </row>
  </sheetData>
  <mergeCells count="2">
    <mergeCell ref="E1:N1"/>
    <mergeCell ref="B32:K32"/>
  </mergeCells>
  <pageMargins left="0.7" right="0.7" top="0.75" bottom="0.75" header="0.3" footer="0.3"/>
  <tableParts count="3">
    <tablePart r:id="rId4"/>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4A392-0DAA-41DC-9DF1-CE3B278B7086}">
  <dimension ref="A3:B8"/>
  <sheetViews>
    <sheetView workbookViewId="0">
      <selection activeCell="A2" sqref="A2:B8"/>
    </sheetView>
  </sheetViews>
  <sheetFormatPr defaultRowHeight="14.5" x14ac:dyDescent="0.35"/>
  <cols>
    <col min="1" max="1" width="37.6328125" customWidth="1"/>
    <col min="2" max="2" width="17.26953125" bestFit="1" customWidth="1"/>
  </cols>
  <sheetData>
    <row r="3" spans="1:2" x14ac:dyDescent="0.35">
      <c r="A3" s="13" t="s">
        <v>3937</v>
      </c>
      <c r="B3" t="s">
        <v>3936</v>
      </c>
    </row>
    <row r="4" spans="1:2" x14ac:dyDescent="0.35">
      <c r="A4" s="14" t="s">
        <v>3929</v>
      </c>
      <c r="B4" s="15">
        <v>46</v>
      </c>
    </row>
    <row r="5" spans="1:2" x14ac:dyDescent="0.35">
      <c r="A5" s="14" t="s">
        <v>3930</v>
      </c>
      <c r="B5" s="15">
        <v>76</v>
      </c>
    </row>
    <row r="6" spans="1:2" x14ac:dyDescent="0.35">
      <c r="A6" s="14" t="s">
        <v>3931</v>
      </c>
      <c r="B6" s="15">
        <v>400</v>
      </c>
    </row>
    <row r="7" spans="1:2" x14ac:dyDescent="0.35">
      <c r="A7" s="14" t="s">
        <v>3932</v>
      </c>
      <c r="B7" s="15">
        <v>357</v>
      </c>
    </row>
    <row r="8" spans="1:2" x14ac:dyDescent="0.35">
      <c r="A8" s="14" t="s">
        <v>3933</v>
      </c>
      <c r="B8" s="15">
        <v>879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1D033-5D21-457F-BBFA-C9B8344515DE}">
  <dimension ref="A1:A3"/>
  <sheetViews>
    <sheetView showGridLines="0" zoomScale="60" zoomScaleNormal="60" workbookViewId="0">
      <selection activeCell="Z30" sqref="Z30"/>
    </sheetView>
  </sheetViews>
  <sheetFormatPr defaultRowHeight="14.5" x14ac:dyDescent="0.35"/>
  <sheetData>
    <row r="1" customFormat="1" x14ac:dyDescent="0.35"/>
    <row r="2" customFormat="1" x14ac:dyDescent="0.35"/>
    <row r="3"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40BE4-B8FA-4D05-8126-2957173D2CA5}">
  <dimension ref="A3:E96"/>
  <sheetViews>
    <sheetView showGridLines="0" zoomScale="80" zoomScaleNormal="80" workbookViewId="0">
      <selection activeCell="O16" sqref="O16"/>
    </sheetView>
  </sheetViews>
  <sheetFormatPr defaultRowHeight="14.5" x14ac:dyDescent="0.35"/>
  <cols>
    <col min="1" max="1" width="19.26953125" customWidth="1"/>
  </cols>
  <sheetData>
    <row r="3" spans="1:5" x14ac:dyDescent="0.35">
      <c r="A3" s="16" t="s">
        <v>3944</v>
      </c>
      <c r="B3" s="17"/>
      <c r="C3" s="17"/>
      <c r="D3" s="17"/>
      <c r="E3" s="17"/>
    </row>
    <row r="6" spans="1:5" x14ac:dyDescent="0.35">
      <c r="A6" s="16" t="s">
        <v>3945</v>
      </c>
    </row>
    <row r="8" spans="1:5" x14ac:dyDescent="0.35">
      <c r="A8" t="s">
        <v>3946</v>
      </c>
      <c r="B8" s="18">
        <v>0.4395</v>
      </c>
    </row>
    <row r="9" spans="1:5" x14ac:dyDescent="0.35">
      <c r="A9" t="s">
        <v>3947</v>
      </c>
      <c r="B9" s="19">
        <v>2000</v>
      </c>
    </row>
    <row r="10" spans="1:5" x14ac:dyDescent="0.35">
      <c r="A10" t="s">
        <v>3948</v>
      </c>
      <c r="B10" s="20">
        <v>879</v>
      </c>
    </row>
    <row r="11" spans="1:5" x14ac:dyDescent="0.35">
      <c r="A11" t="s">
        <v>3949</v>
      </c>
      <c r="B11" s="19">
        <v>1121</v>
      </c>
    </row>
    <row r="13" spans="1:5" x14ac:dyDescent="0.35">
      <c r="A13" t="s">
        <v>3950</v>
      </c>
      <c r="B13" t="s">
        <v>3951</v>
      </c>
    </row>
    <row r="16" spans="1:5" x14ac:dyDescent="0.35">
      <c r="A16" s="16" t="s">
        <v>3952</v>
      </c>
      <c r="B16" s="17"/>
    </row>
    <row r="18" spans="1:2" x14ac:dyDescent="0.35">
      <c r="A18" t="s">
        <v>3953</v>
      </c>
    </row>
    <row r="19" spans="1:2" x14ac:dyDescent="0.35">
      <c r="A19" t="s">
        <v>3954</v>
      </c>
      <c r="B19" t="s">
        <v>3955</v>
      </c>
    </row>
    <row r="20" spans="1:2" x14ac:dyDescent="0.35">
      <c r="A20" t="s">
        <v>3956</v>
      </c>
      <c r="B20" t="s">
        <v>3957</v>
      </c>
    </row>
    <row r="21" spans="1:2" x14ac:dyDescent="0.35">
      <c r="A21" t="s">
        <v>3958</v>
      </c>
      <c r="B21" t="s">
        <v>3959</v>
      </c>
    </row>
    <row r="23" spans="1:2" x14ac:dyDescent="0.35">
      <c r="A23" t="s">
        <v>3960</v>
      </c>
    </row>
    <row r="24" spans="1:2" x14ac:dyDescent="0.35">
      <c r="A24" t="s">
        <v>3954</v>
      </c>
      <c r="B24" t="s">
        <v>3961</v>
      </c>
    </row>
    <row r="25" spans="1:2" x14ac:dyDescent="0.35">
      <c r="A25" t="s">
        <v>3962</v>
      </c>
      <c r="B25">
        <v>704</v>
      </c>
    </row>
    <row r="26" spans="1:2" x14ac:dyDescent="0.35">
      <c r="A26" t="s">
        <v>3963</v>
      </c>
      <c r="B26">
        <v>472</v>
      </c>
    </row>
    <row r="27" spans="1:2" x14ac:dyDescent="0.35">
      <c r="A27" t="s">
        <v>3964</v>
      </c>
      <c r="B27" t="s">
        <v>3965</v>
      </c>
    </row>
    <row r="28" spans="1:2" x14ac:dyDescent="0.35">
      <c r="A28" t="s">
        <v>3956</v>
      </c>
      <c r="B28" t="s">
        <v>3966</v>
      </c>
    </row>
    <row r="29" spans="1:2" x14ac:dyDescent="0.35">
      <c r="A29" t="s">
        <v>3958</v>
      </c>
      <c r="B29" t="s">
        <v>3967</v>
      </c>
    </row>
    <row r="31" spans="1:2" x14ac:dyDescent="0.35">
      <c r="A31" t="s">
        <v>3968</v>
      </c>
    </row>
    <row r="32" spans="1:2" x14ac:dyDescent="0.35">
      <c r="A32" t="s">
        <v>3954</v>
      </c>
      <c r="B32" t="s">
        <v>3969</v>
      </c>
    </row>
    <row r="33" spans="1:3" x14ac:dyDescent="0.35">
      <c r="A33" t="s">
        <v>3956</v>
      </c>
      <c r="B33" t="s">
        <v>3970</v>
      </c>
    </row>
    <row r="34" spans="1:3" x14ac:dyDescent="0.35">
      <c r="A34" t="s">
        <v>3958</v>
      </c>
      <c r="B34" t="s">
        <v>3971</v>
      </c>
    </row>
    <row r="35" spans="1:3" x14ac:dyDescent="0.35">
      <c r="A35" t="s">
        <v>3950</v>
      </c>
      <c r="B35" t="s">
        <v>3972</v>
      </c>
    </row>
    <row r="37" spans="1:3" x14ac:dyDescent="0.35">
      <c r="A37" t="s">
        <v>3973</v>
      </c>
    </row>
    <row r="38" spans="1:3" x14ac:dyDescent="0.35">
      <c r="A38" t="s">
        <v>3954</v>
      </c>
      <c r="B38" t="s">
        <v>3974</v>
      </c>
    </row>
    <row r="39" spans="1:3" x14ac:dyDescent="0.35">
      <c r="A39" t="s">
        <v>3956</v>
      </c>
      <c r="B39" t="s">
        <v>3975</v>
      </c>
    </row>
    <row r="40" spans="1:3" x14ac:dyDescent="0.35">
      <c r="A40" t="s">
        <v>3958</v>
      </c>
      <c r="B40" t="s">
        <v>3976</v>
      </c>
    </row>
    <row r="43" spans="1:3" x14ac:dyDescent="0.35">
      <c r="A43" s="16" t="s">
        <v>3977</v>
      </c>
      <c r="B43" s="17"/>
      <c r="C43" s="17"/>
    </row>
    <row r="45" spans="1:3" x14ac:dyDescent="0.35">
      <c r="A45" t="s">
        <v>3978</v>
      </c>
      <c r="B45" t="s">
        <v>3979</v>
      </c>
    </row>
    <row r="47" spans="1:3" x14ac:dyDescent="0.35">
      <c r="A47" t="s">
        <v>3980</v>
      </c>
    </row>
    <row r="48" spans="1:3" x14ac:dyDescent="0.35">
      <c r="A48" t="s">
        <v>3981</v>
      </c>
    </row>
    <row r="49" spans="1:3" x14ac:dyDescent="0.35">
      <c r="A49" t="s">
        <v>3982</v>
      </c>
    </row>
    <row r="50" spans="1:3" x14ac:dyDescent="0.35">
      <c r="A50" t="s">
        <v>3983</v>
      </c>
    </row>
    <row r="51" spans="1:3" x14ac:dyDescent="0.35">
      <c r="A51" t="s">
        <v>3984</v>
      </c>
    </row>
    <row r="53" spans="1:3" x14ac:dyDescent="0.35">
      <c r="A53" t="s">
        <v>3985</v>
      </c>
      <c r="B53" t="s">
        <v>3986</v>
      </c>
    </row>
    <row r="56" spans="1:3" x14ac:dyDescent="0.35">
      <c r="A56" s="16" t="s">
        <v>3987</v>
      </c>
      <c r="B56" s="17"/>
      <c r="C56" s="17"/>
    </row>
    <row r="58" spans="1:3" x14ac:dyDescent="0.35">
      <c r="A58" t="s">
        <v>3978</v>
      </c>
      <c r="B58" t="s">
        <v>3988</v>
      </c>
    </row>
    <row r="60" spans="1:3" x14ac:dyDescent="0.35">
      <c r="A60" t="s">
        <v>3980</v>
      </c>
    </row>
    <row r="61" spans="1:3" x14ac:dyDescent="0.35">
      <c r="A61" t="s">
        <v>3989</v>
      </c>
    </row>
    <row r="62" spans="1:3" x14ac:dyDescent="0.35">
      <c r="A62" t="s">
        <v>3990</v>
      </c>
    </row>
    <row r="63" spans="1:3" x14ac:dyDescent="0.35">
      <c r="A63" t="s">
        <v>3991</v>
      </c>
    </row>
    <row r="64" spans="1:3" x14ac:dyDescent="0.35">
      <c r="A64" t="s">
        <v>3992</v>
      </c>
    </row>
    <row r="66" spans="1:2" x14ac:dyDescent="0.35">
      <c r="A66" t="s">
        <v>3993</v>
      </c>
      <c r="B66" t="s">
        <v>3994</v>
      </c>
    </row>
    <row r="68" spans="1:2" x14ac:dyDescent="0.35">
      <c r="A68" t="s">
        <v>3995</v>
      </c>
      <c r="B68" t="s">
        <v>3996</v>
      </c>
    </row>
    <row r="71" spans="1:2" x14ac:dyDescent="0.35">
      <c r="A71" s="16" t="s">
        <v>3997</v>
      </c>
    </row>
    <row r="73" spans="1:2" x14ac:dyDescent="0.35">
      <c r="A73" t="s">
        <v>3998</v>
      </c>
    </row>
    <row r="74" spans="1:2" x14ac:dyDescent="0.35">
      <c r="A74" t="s">
        <v>3999</v>
      </c>
      <c r="B74" t="s">
        <v>4000</v>
      </c>
    </row>
    <row r="75" spans="1:2" x14ac:dyDescent="0.35">
      <c r="A75" t="s">
        <v>3980</v>
      </c>
      <c r="B75" t="s">
        <v>4001</v>
      </c>
    </row>
    <row r="77" spans="1:2" x14ac:dyDescent="0.35">
      <c r="A77" t="s">
        <v>4002</v>
      </c>
    </row>
    <row r="78" spans="1:2" x14ac:dyDescent="0.35">
      <c r="A78" t="s">
        <v>3999</v>
      </c>
      <c r="B78" t="s">
        <v>4003</v>
      </c>
    </row>
    <row r="79" spans="1:2" x14ac:dyDescent="0.35">
      <c r="A79" t="s">
        <v>4004</v>
      </c>
      <c r="B79" t="s">
        <v>4005</v>
      </c>
    </row>
    <row r="80" spans="1:2" x14ac:dyDescent="0.35">
      <c r="A80" t="s">
        <v>4006</v>
      </c>
      <c r="B80" t="s">
        <v>4007</v>
      </c>
    </row>
    <row r="82" spans="1:2" x14ac:dyDescent="0.35">
      <c r="A82" t="s">
        <v>4008</v>
      </c>
    </row>
    <row r="83" spans="1:2" x14ac:dyDescent="0.35">
      <c r="A83" t="s">
        <v>3999</v>
      </c>
      <c r="B83" t="s">
        <v>4009</v>
      </c>
    </row>
    <row r="84" spans="1:2" x14ac:dyDescent="0.35">
      <c r="A84" t="s">
        <v>4010</v>
      </c>
      <c r="B84" t="s">
        <v>4011</v>
      </c>
    </row>
    <row r="85" spans="1:2" x14ac:dyDescent="0.35">
      <c r="A85" t="s">
        <v>4012</v>
      </c>
      <c r="B85" t="s">
        <v>4013</v>
      </c>
    </row>
    <row r="87" spans="1:2" x14ac:dyDescent="0.35">
      <c r="A87" t="s">
        <v>4014</v>
      </c>
    </row>
    <row r="88" spans="1:2" x14ac:dyDescent="0.35">
      <c r="A88" t="s">
        <v>3999</v>
      </c>
      <c r="B88" t="s">
        <v>4015</v>
      </c>
    </row>
    <row r="89" spans="1:2" x14ac:dyDescent="0.35">
      <c r="A89" t="s">
        <v>4016</v>
      </c>
      <c r="B89" t="s">
        <v>4017</v>
      </c>
    </row>
    <row r="90" spans="1:2" x14ac:dyDescent="0.35">
      <c r="A90" t="s">
        <v>4018</v>
      </c>
      <c r="B90" t="s">
        <v>4019</v>
      </c>
    </row>
    <row r="91" spans="1:2" x14ac:dyDescent="0.35">
      <c r="A91" t="s">
        <v>4020</v>
      </c>
      <c r="B91" t="s">
        <v>4021</v>
      </c>
    </row>
    <row r="93" spans="1:2" x14ac:dyDescent="0.35">
      <c r="A93" t="s">
        <v>4022</v>
      </c>
    </row>
    <row r="94" spans="1:2" x14ac:dyDescent="0.35">
      <c r="A94" t="s">
        <v>3999</v>
      </c>
      <c r="B94" t="s">
        <v>4023</v>
      </c>
    </row>
    <row r="95" spans="1:2" x14ac:dyDescent="0.35">
      <c r="A95" t="s">
        <v>4024</v>
      </c>
      <c r="B95" t="s">
        <v>4025</v>
      </c>
    </row>
    <row r="96" spans="1:2" x14ac:dyDescent="0.35">
      <c r="A96" t="s">
        <v>3995</v>
      </c>
      <c r="B96" t="s">
        <v>4026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595A4782-D1D3-4481-B16E-A38765A5AAFF}">
  <ds:schemaRefs/>
</ds:datastoreItem>
</file>

<file path=customXml/itemProps2.xml><?xml version="1.0" encoding="utf-8"?>
<ds:datastoreItem xmlns:ds="http://schemas.openxmlformats.org/officeDocument/2006/customXml" ds:itemID="{147CC27C-F49E-41B0-B3A1-C1FEA5B04A6E}">
  <ds:schemaRefs/>
</ds:datastoreItem>
</file>

<file path=customXml/itemProps3.xml><?xml version="1.0" encoding="utf-8"?>
<ds:datastoreItem xmlns:ds="http://schemas.openxmlformats.org/officeDocument/2006/customXml" ds:itemID="{3061D58A-2372-48F7-9DDF-F9F5101A292E}">
  <ds:schemaRefs/>
</ds:datastoreItem>
</file>

<file path=customXml/itemProps4.xml><?xml version="1.0" encoding="utf-8"?>
<ds:datastoreItem xmlns:ds="http://schemas.openxmlformats.org/officeDocument/2006/customXml" ds:itemID="{76016DEE-EBD6-4903-A4B4-8F21CC53ADA3}">
  <ds:schemaRefs/>
</ds:datastoreItem>
</file>

<file path=customXml/itemProps5.xml><?xml version="1.0" encoding="utf-8"?>
<ds:datastoreItem xmlns:ds="http://schemas.openxmlformats.org/officeDocument/2006/customXml" ds:itemID="{883F44CF-4620-43A1-8BFF-84D31B6D8A5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Sheet4</vt:lpstr>
      <vt:lpstr>Sheet5</vt:lpstr>
      <vt:lpstr>Sheet6</vt:lpstr>
      <vt:lpstr>Sheet7</vt:lpstr>
      <vt:lpstr>Assesment Table</vt:lpstr>
      <vt:lpstr>Sheet9</vt:lpstr>
      <vt:lpstr>Sheet2</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david daudu</cp:lastModifiedBy>
  <dcterms:created xsi:type="dcterms:W3CDTF">2025-10-15T04:34:09Z</dcterms:created>
  <dcterms:modified xsi:type="dcterms:W3CDTF">2025-11-11T12:52:24Z</dcterms:modified>
</cp:coreProperties>
</file>